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orted Responses" sheetId="2" r:id="rId6"/>
    <sheet state="visible" name="Numeric Responses" sheetId="3" r:id="rId7"/>
    <sheet state="visible" name="Averages" sheetId="4" r:id="rId8"/>
  </sheets>
  <definedNames/>
  <calcPr/>
</workbook>
</file>

<file path=xl/sharedStrings.xml><?xml version="1.0" encoding="utf-8"?>
<sst xmlns="http://schemas.openxmlformats.org/spreadsheetml/2006/main" count="882" uniqueCount="132">
  <si>
    <t>Timestamp</t>
  </si>
  <si>
    <t>Age</t>
  </si>
  <si>
    <t>Gender</t>
  </si>
  <si>
    <t>Educational Background (e.g., degree, major)</t>
  </si>
  <si>
    <t>Occupation</t>
  </si>
  <si>
    <t>Rate your prior experience with computer programing</t>
  </si>
  <si>
    <t>If you have prior experience with computer programming, please provide details</t>
  </si>
  <si>
    <t>Rate your prior experience with robotics</t>
  </si>
  <si>
    <t>Part A1 [I think that I would like to use this system frequently.]</t>
  </si>
  <si>
    <t>Part A1 [I found the system unnecessarily complex.]</t>
  </si>
  <si>
    <t>Part A1 [I thought the system was easy to use.]</t>
  </si>
  <si>
    <t>Part A1 [I think that I would need the support of a technical person to be able to use this system.]</t>
  </si>
  <si>
    <t>Part A1 [I found the various functions in this system well-integrated.]</t>
  </si>
  <si>
    <t>Part A1 [I thought there was too much inconsistency in this system.]</t>
  </si>
  <si>
    <t>Part A1 [I would imagine that most people would learn to use this system very quickly.]</t>
  </si>
  <si>
    <t>Part A1 [I found the system very cumbersome to use.]</t>
  </si>
  <si>
    <t>Part A1 [I felt very confident using the system.]</t>
  </si>
  <si>
    <t>Part A1 [I needed to learn a lot of things before I could get going with this system.]</t>
  </si>
  <si>
    <t>Part A2 [Rate how effective the system was in understanding and executing the commands]</t>
  </si>
  <si>
    <t>Part A2 [Rate how easy it was to predict the outcome of the system]</t>
  </si>
  <si>
    <t>Part A2 [Rate how well the robot’s used skills aligned with the task]</t>
  </si>
  <si>
    <t>Part A2 [Rate your overall satisfaction with the system]</t>
  </si>
  <si>
    <t>Part B1 [I think that I would like to use this system frequently.]</t>
  </si>
  <si>
    <t>Part B1 [I found the system unnecessarily complex.]</t>
  </si>
  <si>
    <t>Part B1 [I thought the system was easy to use.]</t>
  </si>
  <si>
    <t>Part B1 [I think that I would need the support of a technical person to be able to use this system.]</t>
  </si>
  <si>
    <t>Part B1 [I found the various functions in this system well-integrated.]</t>
  </si>
  <si>
    <t>Part B1 [I thought there was too much inconsistency in this system.]</t>
  </si>
  <si>
    <t>Part B1 [I would imagine that most people would learn to use this system very quickly.]</t>
  </si>
  <si>
    <t>Part B1 [I found the system very cumbersome to use.]</t>
  </si>
  <si>
    <t>Part B1 [I felt very confident using the system.]</t>
  </si>
  <si>
    <t>Part B1 [I needed to learn a lot of things before I could get going with this system.]</t>
  </si>
  <si>
    <t>Part B2 [Rate how effective the system was in understanding and executing the commands]</t>
  </si>
  <si>
    <t>Part B2 [Rate how easy it was to predict the outcome of the system]</t>
  </si>
  <si>
    <t>Part B2 [Rate how well the robot’s used skills aligned with the task]</t>
  </si>
  <si>
    <t>Part B2 [Rate your overall satisfaction with the system]</t>
  </si>
  <si>
    <t>Female</t>
  </si>
  <si>
    <t>Ph.D.</t>
  </si>
  <si>
    <t>Retired Biology Professor</t>
  </si>
  <si>
    <t>Beginner: I have written or modified some simple computer programs.</t>
  </si>
  <si>
    <t>I have primarily programmed in SAS and R for statistical analysis</t>
  </si>
  <si>
    <t>Novice: I have seen some commercial robots</t>
  </si>
  <si>
    <t>Disagree</t>
  </si>
  <si>
    <t>Neither agree nor disagree</t>
  </si>
  <si>
    <t>Somewhat agree</t>
  </si>
  <si>
    <t>Somewhat disagree</t>
  </si>
  <si>
    <t>Agree</t>
  </si>
  <si>
    <t>Somewhat poor</t>
  </si>
  <si>
    <t>Poor</t>
  </si>
  <si>
    <t>Strongly disagree</t>
  </si>
  <si>
    <t>Strongly Agree</t>
  </si>
  <si>
    <t>Very poor</t>
  </si>
  <si>
    <t>MS in Electrical and Computer Engineering</t>
  </si>
  <si>
    <t>Student</t>
  </si>
  <si>
    <t>None: I have no experience with robots</t>
  </si>
  <si>
    <t>Very good</t>
  </si>
  <si>
    <t>Good</t>
  </si>
  <si>
    <t>Somewhat good</t>
  </si>
  <si>
    <t>Male</t>
  </si>
  <si>
    <t>Data Science</t>
  </si>
  <si>
    <t>littlebit in C and Swift language</t>
  </si>
  <si>
    <t>Beginner: I have interacted with some commercial robots</t>
  </si>
  <si>
    <t>Physician</t>
  </si>
  <si>
    <t>IT Clinical Associate</t>
  </si>
  <si>
    <t>Novice: I have seen or read some examples of computer programs or code.</t>
  </si>
  <si>
    <t>None</t>
  </si>
  <si>
    <t>Master's in Data Science</t>
  </si>
  <si>
    <t>Intermediate: I have done some development and debugging of bigger software projects.</t>
  </si>
  <si>
    <t>Python</t>
  </si>
  <si>
    <t>Neutral</t>
  </si>
  <si>
    <t>MS Data Science</t>
  </si>
  <si>
    <t>I have worked with C++ and python. Currently working on two of machine learning projects.</t>
  </si>
  <si>
    <t>Bachelors in Nursing</t>
  </si>
  <si>
    <t>Nurse</t>
  </si>
  <si>
    <t>I have done a very small amount of frontend programming using javascript</t>
  </si>
  <si>
    <t>MS Data Science, Analytics &amp; Engineering</t>
  </si>
  <si>
    <t>Worked in a data engineering project with a previous company (Snowflake, SQL, data pipeline and transformation using Python)</t>
  </si>
  <si>
    <t>PhD in Literature</t>
  </si>
  <si>
    <t>None: I have no experience with computer programming</t>
  </si>
  <si>
    <t>MA, ART HISTORY</t>
  </si>
  <si>
    <t>STUDENT</t>
  </si>
  <si>
    <t>N/A</t>
  </si>
  <si>
    <t>M.S in Data Science, analytics and Engineering</t>
  </si>
  <si>
    <t>Master of Science in Software Engineering</t>
  </si>
  <si>
    <t>I have built systems and fixed some of them.</t>
  </si>
  <si>
    <t>Masters in Data Science</t>
  </si>
  <si>
    <t>Data Engineer Intern</t>
  </si>
  <si>
    <t>I build automations for stakeholders and do work with sql and python</t>
  </si>
  <si>
    <t>Baseline [I think that I would like to use this system frequently.]</t>
  </si>
  <si>
    <t>Baseline [I found the system unnecessarily complex.]</t>
  </si>
  <si>
    <t>Baseline [I thought the system was easy to use.]</t>
  </si>
  <si>
    <t>Baseline [I think that I would need the support of a technical person to be able to use this system.]</t>
  </si>
  <si>
    <t>Baseline [I found the various functions in this system well-integrated.]</t>
  </si>
  <si>
    <t>Baseline [I thought there was too much inconsistency in this system.]</t>
  </si>
  <si>
    <t>Baseline [I would imagine that most people would learn to use this system very quickly.]</t>
  </si>
  <si>
    <t>Baseline [I found the system very cumbersome to use.]</t>
  </si>
  <si>
    <t>Baseline [I felt very confident using the system.]</t>
  </si>
  <si>
    <t>Baseline [I needed to learn a lot of things before I could get going with this system.]</t>
  </si>
  <si>
    <t>Baseline [Rate how effective the system was in understanding and executing the commands]</t>
  </si>
  <si>
    <t>Baseline [Rate how easy it was to predict the outcome of the system]</t>
  </si>
  <si>
    <t>Baseline [Rate how well the robot’s used skills aligned with the task]</t>
  </si>
  <si>
    <t>Baseline [Rate your overall satisfaction with the system]</t>
  </si>
  <si>
    <t>SkillComposer [I think that I would like to use this system frequently.]</t>
  </si>
  <si>
    <t>SkillComposer [I found the system unnecessarily complex.]</t>
  </si>
  <si>
    <t>SkillComposer [I thought the system was easy to use.]</t>
  </si>
  <si>
    <t>SkillComposer [I think that I would need the support of a technical person to be able to use this system.]</t>
  </si>
  <si>
    <t>SkillComposer [I found the various functions in this system well-integrated.]</t>
  </si>
  <si>
    <t>SkillComposer [I thought there was too much inconsistency in this system.]</t>
  </si>
  <si>
    <t>SkillComposer [I would imagine that most people would learn to use this system very quickly.]</t>
  </si>
  <si>
    <t>SkillComposer [I found the system very cumbersome to use.]</t>
  </si>
  <si>
    <t>SkillComposer [I felt very confident using the system.]</t>
  </si>
  <si>
    <t>SkillComposer [I needed to learn a lot of things before I could get going with this system.]</t>
  </si>
  <si>
    <t>SkillComposer [Rate how effective the system was in understanding and executing the commands]</t>
  </si>
  <si>
    <t>SkillComposer [Rate how easy it was to predict the outcome of the system]</t>
  </si>
  <si>
    <t>SkillComposer [Rate how well the robot’s used skills aligned with the task]</t>
  </si>
  <si>
    <t>SkillComposer [Rate your overall satisfaction with the system]</t>
  </si>
  <si>
    <t>I think that I would like to use this system frequently.</t>
  </si>
  <si>
    <t>I found the system unnecessarily complex.</t>
  </si>
  <si>
    <t>I thought the system was easy to use.</t>
  </si>
  <si>
    <t>I think that I would need the support of a technical person to be able to use this system.</t>
  </si>
  <si>
    <t>I found the various functions in this system well-integrated.</t>
  </si>
  <si>
    <t>I thought there was too much inconsistency in this system.</t>
  </si>
  <si>
    <t>I would imagine that most people would learn to use this system very quickly.</t>
  </si>
  <si>
    <t>I found the system very cumbersome to use.</t>
  </si>
  <si>
    <t>I felt very confident using the system.</t>
  </si>
  <si>
    <t>I needed to learn a lot of things before I could get going with this system.</t>
  </si>
  <si>
    <t>Rate how effective the system was in understanding and executing the commands</t>
  </si>
  <si>
    <t>Rate how easy it was to predict the outcome of the system</t>
  </si>
  <si>
    <t>Rate how well the robot’s used skills aligned with the task</t>
  </si>
  <si>
    <t>Rate your overall satisfaction with the system</t>
  </si>
  <si>
    <t>Baseline</t>
  </si>
  <si>
    <t>SkillComposer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</si>
</sst>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Alignment="1" applyBorder="1" applyFont="1">
      <alignment readingOrder="0"/>
    </xf>
    <xf borderId="0" fillId="0" fontId="1" numFmtId="2" xfId="0" applyFont="1" applyNumberFormat="1"/>
    <xf borderId="0" fillId="0" fontId="2" numFmtId="2" xfId="0" applyFont="1" applyNumberFormat="1"/>
    <xf borderId="3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rted 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umeric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J14" displayName="Form_Responses" name="Form_Responses" id="1">
  <tableColumns count="36">
    <tableColumn name="Timestamp" id="1"/>
    <tableColumn name="Age" id="2"/>
    <tableColumn name="Gender" id="3"/>
    <tableColumn name="Educational Background (e.g., degree, major)" id="4"/>
    <tableColumn name="Occupation" id="5"/>
    <tableColumn name="Rate your prior experience with computer programing" id="6"/>
    <tableColumn name="If you have prior experience with computer programming, please provide details" id="7"/>
    <tableColumn name="Rate your prior experience with robotics" id="8"/>
    <tableColumn name="Part A1 [I think that I would like to use this system frequently.]" id="9"/>
    <tableColumn name="Part A1 [I found the system unnecessarily complex.]" id="10"/>
    <tableColumn name="Part A1 [I thought the system was easy to use.]" id="11"/>
    <tableColumn name="Part A1 [I think that I would need the support of a technical person to be able to use this system.]" id="12"/>
    <tableColumn name="Part A1 [I found the various functions in this system well-integrated.]" id="13"/>
    <tableColumn name="Part A1 [I thought there was too much inconsistency in this system.]" id="14"/>
    <tableColumn name="Part A1 [I would imagine that most people would learn to use this system very quickly.]" id="15"/>
    <tableColumn name="Part A1 [I found the system very cumbersome to use.]" id="16"/>
    <tableColumn name="Part A1 [I felt very confident using the system.]" id="17"/>
    <tableColumn name="Part A1 [I needed to learn a lot of things before I could get going with this system.]" id="18"/>
    <tableColumn name="Part A2 [Rate how effective the system was in understanding and executing the commands]" id="19"/>
    <tableColumn name="Part A2 [Rate how easy it was to predict the outcome of the system]" id="20"/>
    <tableColumn name="Part A2 [Rate how well the robot’s used skills aligned with the task]" id="21"/>
    <tableColumn name="Part A2 [Rate your overall satisfaction with the system]" id="22"/>
    <tableColumn name="Part B1 [I think that I would like to use this system frequently.]" id="23"/>
    <tableColumn name="Part B1 [I found the system unnecessarily complex.]" id="24"/>
    <tableColumn name="Part B1 [I thought the system was easy to use.]" id="25"/>
    <tableColumn name="Part B1 [I think that I would need the support of a technical person to be able to use this system.]" id="26"/>
    <tableColumn name="Part B1 [I found the various functions in this system well-integrated.]" id="27"/>
    <tableColumn name="Part B1 [I thought there was too much inconsistency in this system.]" id="28"/>
    <tableColumn name="Part B1 [I would imagine that most people would learn to use this system very quickly.]" id="29"/>
    <tableColumn name="Part B1 [I found the system very cumbersome to use.]" id="30"/>
    <tableColumn name="Part B1 [I felt very confident using the system.]" id="31"/>
    <tableColumn name="Part B1 [I needed to learn a lot of things before I could get going with this system.]" id="32"/>
    <tableColumn name="Part B2 [Rate how effective the system was in understanding and executing the commands]" id="33"/>
    <tableColumn name="Part B2 [Rate how easy it was to predict the outcome of the system]" id="34"/>
    <tableColumn name="Part B2 [Rate how well the robot’s used skills aligned with the task]" id="35"/>
    <tableColumn name="Part B2 [Rate your overall satisfaction with the system]" id="36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A1:AB13" displayName="Form_Responses_2" name="Form_Responses_2" id="2">
  <tableColumns count="28">
    <tableColumn name="Baseline [I think that I would like to use this system frequently.]" id="1"/>
    <tableColumn name="Baseline [I found the system unnecessarily complex.]" id="2"/>
    <tableColumn name="Baseline [I thought the system was easy to use.]" id="3"/>
    <tableColumn name="Baseline [I think that I would need the support of a technical person to be able to use this system.]" id="4"/>
    <tableColumn name="Baseline [I found the various functions in this system well-integrated.]" id="5"/>
    <tableColumn name="Baseline [I thought there was too much inconsistency in this system.]" id="6"/>
    <tableColumn name="Baseline [I would imagine that most people would learn to use this system very quickly.]" id="7"/>
    <tableColumn name="Baseline [I found the system very cumbersome to use.]" id="8"/>
    <tableColumn name="Baseline [I felt very confident using the system.]" id="9"/>
    <tableColumn name="Baseline [I needed to learn a lot of things before I could get going with this system.]" id="10"/>
    <tableColumn name="Baseline [Rate how effective the system was in understanding and executing the commands]" id="11"/>
    <tableColumn name="Baseline [Rate how easy it was to predict the outcome of the system]" id="12"/>
    <tableColumn name="Baseline [Rate how well the robot’s used skills aligned with the task]" id="13"/>
    <tableColumn name="Baseline [Rate your overall satisfaction with the system]" id="14"/>
    <tableColumn name="SkillComposer [I think that I would like to use this system frequently.]" id="15"/>
    <tableColumn name="SkillComposer [I found the system unnecessarily complex.]" id="16"/>
    <tableColumn name="SkillComposer [I thought the system was easy to use.]" id="17"/>
    <tableColumn name="SkillComposer [I think that I would need the support of a technical person to be able to use this system.]" id="18"/>
    <tableColumn name="SkillComposer [I found the various functions in this system well-integrated.]" id="19"/>
    <tableColumn name="SkillComposer [I thought there was too much inconsistency in this system.]" id="20"/>
    <tableColumn name="SkillComposer [I would imagine that most people would learn to use this system very quickly.]" id="21"/>
    <tableColumn name="SkillComposer [I found the system very cumbersome to use.]" id="22"/>
    <tableColumn name="SkillComposer [I felt very confident using the system.]" id="23"/>
    <tableColumn name="SkillComposer [I needed to learn a lot of things before I could get going with this system.]" id="24"/>
    <tableColumn name="SkillComposer [Rate how effective the system was in understanding and executing the commands]" id="25"/>
    <tableColumn name="SkillComposer [Rate how easy it was to predict the outcome of the system]" id="26"/>
    <tableColumn name="SkillComposer [Rate how well the robot’s used skills aligned with the task]" id="27"/>
    <tableColumn name="SkillComposer [Rate your overall satisfaction with the system]" id="28"/>
  </tableColumns>
  <tableStyleInfo name="Sorted Responses-style" showColumnStripes="0" showFirstColumn="1" showLastColumn="1" showRowStripes="1"/>
</table>
</file>

<file path=xl/tables/table3.xml><?xml version="1.0" encoding="utf-8"?>
<table xmlns="http://schemas.openxmlformats.org/spreadsheetml/2006/main" ref="A1:AB13" displayName="Form_Responses_3" name="Form_Responses_3" id="3">
  <tableColumns count="28">
    <tableColumn name="Baseline [I think that I would like to use this system frequently.]" id="1"/>
    <tableColumn name="Baseline [I found the system unnecessarily complex.]" id="2"/>
    <tableColumn name="Baseline [I thought the system was easy to use.]" id="3"/>
    <tableColumn name="Baseline [I think that I would need the support of a technical person to be able to use this system.]" id="4"/>
    <tableColumn name="Baseline [I found the various functions in this system well-integrated.]" id="5"/>
    <tableColumn name="Baseline [I thought there was too much inconsistency in this system.]" id="6"/>
    <tableColumn name="Baseline [I would imagine that most people would learn to use this system very quickly.]" id="7"/>
    <tableColumn name="Baseline [I found the system very cumbersome to use.]" id="8"/>
    <tableColumn name="Baseline [I felt very confident using the system.]" id="9"/>
    <tableColumn name="Baseline [I needed to learn a lot of things before I could get going with this system.]" id="10"/>
    <tableColumn name="Baseline [Rate how effective the system was in understanding and executing the commands]" id="11"/>
    <tableColumn name="Baseline [Rate how easy it was to predict the outcome of the system]" id="12"/>
    <tableColumn name="Baseline [Rate how well the robot’s used skills aligned with the task]" id="13"/>
    <tableColumn name="Baseline [Rate your overall satisfaction with the system]" id="14"/>
    <tableColumn name="SkillComposer [I think that I would like to use this system frequently.]" id="15"/>
    <tableColumn name="SkillComposer [I found the system unnecessarily complex.]" id="16"/>
    <tableColumn name="SkillComposer [I thought the system was easy to use.]" id="17"/>
    <tableColumn name="SkillComposer [I think that I would need the support of a technical person to be able to use this system.]" id="18"/>
    <tableColumn name="SkillComposer [I found the various functions in this system well-integrated.]" id="19"/>
    <tableColumn name="SkillComposer [I thought there was too much inconsistency in this system.]" id="20"/>
    <tableColumn name="SkillComposer [I would imagine that most people would learn to use this system very quickly.]" id="21"/>
    <tableColumn name="SkillComposer [I found the system very cumbersome to use.]" id="22"/>
    <tableColumn name="SkillComposer [I felt very confident using the system.]" id="23"/>
    <tableColumn name="SkillComposer [I needed to learn a lot of things before I could get going with this system.]" id="24"/>
    <tableColumn name="SkillComposer [Rate how effective the system was in understanding and executing the commands]" id="25"/>
    <tableColumn name="SkillComposer [Rate how easy it was to predict the outcome of the system]" id="26"/>
    <tableColumn name="SkillComposer [Rate how well the robot’s used skills aligned with the task]" id="27"/>
    <tableColumn name="SkillComposer [Rate your overall satisfaction with the system]" id="28"/>
  </tableColumns>
  <tableStyleInfo name="Numeric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18.88"/>
    <col customWidth="1" min="6" max="7" width="37.63"/>
    <col customWidth="1" min="8" max="8" width="34.0"/>
    <col customWidth="1" min="9" max="36" width="37.63"/>
    <col customWidth="1" min="37" max="4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22.5" customHeight="1">
      <c r="A2" s="2">
        <v>46191.51884561343</v>
      </c>
      <c r="B2" s="3">
        <v>62.0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42</v>
      </c>
      <c r="M2" s="3" t="s">
        <v>45</v>
      </c>
      <c r="N2" s="3" t="s">
        <v>44</v>
      </c>
      <c r="O2" s="3" t="s">
        <v>46</v>
      </c>
      <c r="P2" s="3" t="s">
        <v>44</v>
      </c>
      <c r="Q2" s="3" t="s">
        <v>44</v>
      </c>
      <c r="R2" s="3" t="s">
        <v>42</v>
      </c>
      <c r="S2" s="3" t="s">
        <v>47</v>
      </c>
      <c r="T2" s="3" t="s">
        <v>47</v>
      </c>
      <c r="U2" s="3" t="s">
        <v>48</v>
      </c>
      <c r="V2" s="3" t="s">
        <v>48</v>
      </c>
      <c r="W2" s="3" t="s">
        <v>49</v>
      </c>
      <c r="X2" s="3" t="s">
        <v>46</v>
      </c>
      <c r="Y2" s="3" t="s">
        <v>42</v>
      </c>
      <c r="Z2" s="3" t="s">
        <v>42</v>
      </c>
      <c r="AA2" s="3" t="s">
        <v>49</v>
      </c>
      <c r="AB2" s="3" t="s">
        <v>46</v>
      </c>
      <c r="AC2" s="3" t="s">
        <v>44</v>
      </c>
      <c r="AD2" s="3" t="s">
        <v>50</v>
      </c>
      <c r="AE2" s="3" t="s">
        <v>45</v>
      </c>
      <c r="AF2" s="3" t="s">
        <v>42</v>
      </c>
      <c r="AG2" s="3" t="s">
        <v>51</v>
      </c>
      <c r="AH2" s="3" t="s">
        <v>48</v>
      </c>
      <c r="AI2" s="3" t="s">
        <v>51</v>
      </c>
      <c r="AJ2" s="3" t="s">
        <v>51</v>
      </c>
    </row>
    <row r="3" ht="22.5" customHeight="1">
      <c r="A3" s="4">
        <v>46195.486200960644</v>
      </c>
      <c r="B3" s="5">
        <v>27.0</v>
      </c>
      <c r="C3" s="5" t="s">
        <v>36</v>
      </c>
      <c r="D3" s="5" t="s">
        <v>52</v>
      </c>
      <c r="E3" s="5" t="s">
        <v>53</v>
      </c>
      <c r="F3" s="5" t="s">
        <v>39</v>
      </c>
      <c r="H3" s="5" t="s">
        <v>54</v>
      </c>
      <c r="I3" s="5" t="s">
        <v>46</v>
      </c>
      <c r="J3" s="5" t="s">
        <v>45</v>
      </c>
      <c r="K3" s="5" t="s">
        <v>50</v>
      </c>
      <c r="L3" s="5" t="s">
        <v>49</v>
      </c>
      <c r="M3" s="5" t="s">
        <v>46</v>
      </c>
      <c r="N3" s="5" t="s">
        <v>42</v>
      </c>
      <c r="O3" s="5" t="s">
        <v>50</v>
      </c>
      <c r="P3" s="5" t="s">
        <v>49</v>
      </c>
      <c r="Q3" s="5" t="s">
        <v>50</v>
      </c>
      <c r="R3" s="5" t="s">
        <v>49</v>
      </c>
      <c r="S3" s="5" t="s">
        <v>55</v>
      </c>
      <c r="T3" s="5" t="s">
        <v>56</v>
      </c>
      <c r="U3" s="5" t="s">
        <v>55</v>
      </c>
      <c r="V3" s="5" t="s">
        <v>56</v>
      </c>
      <c r="W3" s="5" t="s">
        <v>46</v>
      </c>
      <c r="X3" s="5" t="s">
        <v>45</v>
      </c>
      <c r="Y3" s="5" t="s">
        <v>50</v>
      </c>
      <c r="Z3" s="5" t="s">
        <v>49</v>
      </c>
      <c r="AA3" s="5" t="s">
        <v>50</v>
      </c>
      <c r="AB3" s="5" t="s">
        <v>42</v>
      </c>
      <c r="AC3" s="5" t="s">
        <v>50</v>
      </c>
      <c r="AD3" s="5" t="s">
        <v>49</v>
      </c>
      <c r="AE3" s="5" t="s">
        <v>50</v>
      </c>
      <c r="AF3" s="5" t="s">
        <v>49</v>
      </c>
      <c r="AG3" s="5" t="s">
        <v>56</v>
      </c>
      <c r="AH3" s="5" t="s">
        <v>56</v>
      </c>
      <c r="AI3" s="5" t="s">
        <v>57</v>
      </c>
      <c r="AJ3" s="5" t="s">
        <v>56</v>
      </c>
    </row>
    <row r="4" ht="22.5" customHeight="1">
      <c r="A4" s="4">
        <v>46195.538163310186</v>
      </c>
      <c r="B4" s="5">
        <v>32.0</v>
      </c>
      <c r="C4" s="5" t="s">
        <v>58</v>
      </c>
      <c r="D4" s="5" t="s">
        <v>59</v>
      </c>
      <c r="E4" s="5" t="s">
        <v>53</v>
      </c>
      <c r="F4" s="5" t="s">
        <v>39</v>
      </c>
      <c r="G4" s="5" t="s">
        <v>60</v>
      </c>
      <c r="H4" s="5" t="s">
        <v>61</v>
      </c>
      <c r="I4" s="5" t="s">
        <v>44</v>
      </c>
      <c r="J4" s="5" t="s">
        <v>42</v>
      </c>
      <c r="K4" s="5" t="s">
        <v>46</v>
      </c>
      <c r="L4" s="5" t="s">
        <v>45</v>
      </c>
      <c r="M4" s="5" t="s">
        <v>46</v>
      </c>
      <c r="N4" s="5" t="s">
        <v>45</v>
      </c>
      <c r="O4" s="5" t="s">
        <v>46</v>
      </c>
      <c r="P4" s="5" t="s">
        <v>42</v>
      </c>
      <c r="Q4" s="5" t="s">
        <v>46</v>
      </c>
      <c r="R4" s="5" t="s">
        <v>43</v>
      </c>
      <c r="S4" s="5" t="s">
        <v>56</v>
      </c>
      <c r="T4" s="5" t="s">
        <v>56</v>
      </c>
      <c r="U4" s="5" t="s">
        <v>56</v>
      </c>
      <c r="V4" s="5" t="s">
        <v>55</v>
      </c>
      <c r="W4" s="5" t="s">
        <v>46</v>
      </c>
      <c r="X4" s="5" t="s">
        <v>42</v>
      </c>
      <c r="Y4" s="5" t="s">
        <v>50</v>
      </c>
      <c r="Z4" s="5" t="s">
        <v>42</v>
      </c>
      <c r="AA4" s="5" t="s">
        <v>50</v>
      </c>
      <c r="AB4" s="5" t="s">
        <v>42</v>
      </c>
      <c r="AC4" s="5" t="s">
        <v>46</v>
      </c>
      <c r="AD4" s="5" t="s">
        <v>42</v>
      </c>
      <c r="AE4" s="5" t="s">
        <v>46</v>
      </c>
      <c r="AF4" s="5" t="s">
        <v>45</v>
      </c>
      <c r="AG4" s="5" t="s">
        <v>56</v>
      </c>
      <c r="AH4" s="5" t="s">
        <v>55</v>
      </c>
      <c r="AI4" s="5" t="s">
        <v>55</v>
      </c>
      <c r="AJ4" s="5" t="s">
        <v>55</v>
      </c>
    </row>
    <row r="5" ht="22.5" customHeight="1">
      <c r="A5" s="4">
        <v>46198.647401979164</v>
      </c>
      <c r="B5" s="5">
        <v>67.0</v>
      </c>
      <c r="C5" s="5" t="s">
        <v>58</v>
      </c>
      <c r="D5" s="5" t="s">
        <v>62</v>
      </c>
      <c r="E5" s="5" t="s">
        <v>63</v>
      </c>
      <c r="F5" s="5" t="s">
        <v>64</v>
      </c>
      <c r="G5" s="5" t="s">
        <v>65</v>
      </c>
      <c r="H5" s="5" t="s">
        <v>54</v>
      </c>
      <c r="I5" s="5" t="s">
        <v>49</v>
      </c>
      <c r="J5" s="5" t="s">
        <v>50</v>
      </c>
      <c r="K5" s="5" t="s">
        <v>42</v>
      </c>
      <c r="L5" s="5" t="s">
        <v>45</v>
      </c>
      <c r="M5" s="5" t="s">
        <v>42</v>
      </c>
      <c r="N5" s="5" t="s">
        <v>45</v>
      </c>
      <c r="O5" s="5" t="s">
        <v>42</v>
      </c>
      <c r="P5" s="5" t="s">
        <v>50</v>
      </c>
      <c r="Q5" s="5" t="s">
        <v>44</v>
      </c>
      <c r="R5" s="5" t="s">
        <v>44</v>
      </c>
      <c r="S5" s="5" t="s">
        <v>51</v>
      </c>
      <c r="T5" s="5" t="s">
        <v>48</v>
      </c>
      <c r="U5" s="5" t="s">
        <v>47</v>
      </c>
      <c r="V5" s="5" t="s">
        <v>48</v>
      </c>
      <c r="W5" s="5" t="s">
        <v>49</v>
      </c>
      <c r="X5" s="5" t="s">
        <v>46</v>
      </c>
      <c r="Y5" s="5" t="s">
        <v>42</v>
      </c>
      <c r="Z5" s="5" t="s">
        <v>45</v>
      </c>
      <c r="AA5" s="5" t="s">
        <v>42</v>
      </c>
      <c r="AB5" s="5" t="s">
        <v>46</v>
      </c>
      <c r="AC5" s="5" t="s">
        <v>42</v>
      </c>
      <c r="AD5" s="5" t="s">
        <v>46</v>
      </c>
      <c r="AE5" s="5" t="s">
        <v>44</v>
      </c>
      <c r="AF5" s="5" t="s">
        <v>44</v>
      </c>
      <c r="AG5" s="5" t="s">
        <v>51</v>
      </c>
      <c r="AH5" s="5" t="s">
        <v>48</v>
      </c>
      <c r="AI5" s="5" t="s">
        <v>48</v>
      </c>
      <c r="AJ5" s="5" t="s">
        <v>51</v>
      </c>
    </row>
    <row r="6" ht="22.5" customHeight="1">
      <c r="A6" s="4">
        <v>46202.468924560184</v>
      </c>
      <c r="B6" s="5">
        <v>27.0</v>
      </c>
      <c r="C6" s="5" t="s">
        <v>58</v>
      </c>
      <c r="D6" s="5" t="s">
        <v>66</v>
      </c>
      <c r="E6" s="5" t="s">
        <v>53</v>
      </c>
      <c r="F6" s="5" t="s">
        <v>67</v>
      </c>
      <c r="G6" s="5" t="s">
        <v>68</v>
      </c>
      <c r="H6" s="5" t="s">
        <v>54</v>
      </c>
      <c r="I6" s="5" t="s">
        <v>44</v>
      </c>
      <c r="J6" s="5" t="s">
        <v>45</v>
      </c>
      <c r="K6" s="5" t="s">
        <v>44</v>
      </c>
      <c r="L6" s="5" t="s">
        <v>42</v>
      </c>
      <c r="M6" s="5" t="s">
        <v>44</v>
      </c>
      <c r="N6" s="5" t="s">
        <v>42</v>
      </c>
      <c r="O6" s="5" t="s">
        <v>46</v>
      </c>
      <c r="P6" s="5" t="s">
        <v>45</v>
      </c>
      <c r="Q6" s="5" t="s">
        <v>50</v>
      </c>
      <c r="R6" s="5" t="s">
        <v>43</v>
      </c>
      <c r="S6" s="5" t="s">
        <v>56</v>
      </c>
      <c r="T6" s="5" t="s">
        <v>55</v>
      </c>
      <c r="U6" s="5" t="s">
        <v>56</v>
      </c>
      <c r="V6" s="5" t="s">
        <v>56</v>
      </c>
      <c r="W6" s="5" t="s">
        <v>45</v>
      </c>
      <c r="X6" s="5" t="s">
        <v>43</v>
      </c>
      <c r="Y6" s="5" t="s">
        <v>44</v>
      </c>
      <c r="Z6" s="5" t="s">
        <v>45</v>
      </c>
      <c r="AA6" s="5" t="s">
        <v>44</v>
      </c>
      <c r="AB6" s="5" t="s">
        <v>46</v>
      </c>
      <c r="AC6" s="5" t="s">
        <v>44</v>
      </c>
      <c r="AD6" s="5" t="s">
        <v>44</v>
      </c>
      <c r="AE6" s="5" t="s">
        <v>44</v>
      </c>
      <c r="AF6" s="5" t="s">
        <v>42</v>
      </c>
      <c r="AG6" s="5" t="s">
        <v>47</v>
      </c>
      <c r="AH6" s="5" t="s">
        <v>57</v>
      </c>
      <c r="AI6" s="5" t="s">
        <v>69</v>
      </c>
      <c r="AJ6" s="5" t="s">
        <v>57</v>
      </c>
    </row>
    <row r="7" ht="22.5" customHeight="1">
      <c r="A7" s="4">
        <v>46204.48827158565</v>
      </c>
      <c r="B7" s="5">
        <v>25.0</v>
      </c>
      <c r="C7" s="5" t="s">
        <v>58</v>
      </c>
      <c r="D7" s="5" t="s">
        <v>70</v>
      </c>
      <c r="E7" s="5" t="s">
        <v>53</v>
      </c>
      <c r="F7" s="5" t="s">
        <v>67</v>
      </c>
      <c r="G7" s="5" t="s">
        <v>71</v>
      </c>
      <c r="H7" s="5" t="s">
        <v>54</v>
      </c>
      <c r="I7" s="5" t="s">
        <v>44</v>
      </c>
      <c r="J7" s="5" t="s">
        <v>42</v>
      </c>
      <c r="K7" s="5" t="s">
        <v>44</v>
      </c>
      <c r="L7" s="5" t="s">
        <v>43</v>
      </c>
      <c r="M7" s="5" t="s">
        <v>50</v>
      </c>
      <c r="N7" s="5" t="s">
        <v>43</v>
      </c>
      <c r="O7" s="5" t="s">
        <v>50</v>
      </c>
      <c r="P7" s="5" t="s">
        <v>42</v>
      </c>
      <c r="Q7" s="5" t="s">
        <v>50</v>
      </c>
      <c r="R7" s="5" t="s">
        <v>49</v>
      </c>
      <c r="S7" s="5" t="s">
        <v>55</v>
      </c>
      <c r="T7" s="5" t="s">
        <v>55</v>
      </c>
      <c r="U7" s="5" t="s">
        <v>55</v>
      </c>
      <c r="V7" s="5" t="s">
        <v>55</v>
      </c>
      <c r="W7" s="5" t="s">
        <v>50</v>
      </c>
      <c r="X7" s="5" t="s">
        <v>49</v>
      </c>
      <c r="Y7" s="5" t="s">
        <v>50</v>
      </c>
      <c r="Z7" s="5" t="s">
        <v>49</v>
      </c>
      <c r="AA7" s="5" t="s">
        <v>50</v>
      </c>
      <c r="AB7" s="5" t="s">
        <v>49</v>
      </c>
      <c r="AC7" s="5" t="s">
        <v>50</v>
      </c>
      <c r="AD7" s="5" t="s">
        <v>49</v>
      </c>
      <c r="AE7" s="5" t="s">
        <v>50</v>
      </c>
      <c r="AF7" s="5" t="s">
        <v>49</v>
      </c>
      <c r="AG7" s="5" t="s">
        <v>55</v>
      </c>
      <c r="AH7" s="5" t="s">
        <v>55</v>
      </c>
      <c r="AI7" s="5" t="s">
        <v>55</v>
      </c>
      <c r="AJ7" s="5" t="s">
        <v>55</v>
      </c>
    </row>
    <row r="8" ht="22.5" customHeight="1">
      <c r="A8" s="4">
        <v>46206.444111979166</v>
      </c>
      <c r="B8" s="5">
        <v>33.0</v>
      </c>
      <c r="C8" s="5" t="s">
        <v>58</v>
      </c>
      <c r="D8" s="5" t="s">
        <v>72</v>
      </c>
      <c r="E8" s="5" t="s">
        <v>73</v>
      </c>
      <c r="F8" s="5" t="s">
        <v>39</v>
      </c>
      <c r="G8" s="5" t="s">
        <v>74</v>
      </c>
      <c r="H8" s="5" t="s">
        <v>41</v>
      </c>
      <c r="I8" s="5" t="s">
        <v>44</v>
      </c>
      <c r="J8" s="5" t="s">
        <v>42</v>
      </c>
      <c r="K8" s="5" t="s">
        <v>46</v>
      </c>
      <c r="L8" s="5" t="s">
        <v>42</v>
      </c>
      <c r="M8" s="5" t="s">
        <v>50</v>
      </c>
      <c r="N8" s="5" t="s">
        <v>43</v>
      </c>
      <c r="O8" s="5" t="s">
        <v>46</v>
      </c>
      <c r="P8" s="5" t="s">
        <v>42</v>
      </c>
      <c r="Q8" s="5" t="s">
        <v>50</v>
      </c>
      <c r="R8" s="5" t="s">
        <v>49</v>
      </c>
      <c r="S8" s="5" t="s">
        <v>57</v>
      </c>
      <c r="T8" s="5" t="s">
        <v>57</v>
      </c>
      <c r="U8" s="5" t="s">
        <v>56</v>
      </c>
      <c r="V8" s="5" t="s">
        <v>56</v>
      </c>
      <c r="W8" s="5" t="s">
        <v>44</v>
      </c>
      <c r="X8" s="5" t="s">
        <v>42</v>
      </c>
      <c r="Y8" s="5" t="s">
        <v>50</v>
      </c>
      <c r="Z8" s="5" t="s">
        <v>42</v>
      </c>
      <c r="AA8" s="5" t="s">
        <v>46</v>
      </c>
      <c r="AB8" s="5" t="s">
        <v>45</v>
      </c>
      <c r="AC8" s="5" t="s">
        <v>46</v>
      </c>
      <c r="AD8" s="5" t="s">
        <v>42</v>
      </c>
      <c r="AE8" s="5" t="s">
        <v>50</v>
      </c>
      <c r="AF8" s="5" t="s">
        <v>42</v>
      </c>
      <c r="AG8" s="5" t="s">
        <v>56</v>
      </c>
      <c r="AH8" s="5" t="s">
        <v>56</v>
      </c>
      <c r="AI8" s="5" t="s">
        <v>56</v>
      </c>
      <c r="AJ8" s="5" t="s">
        <v>56</v>
      </c>
    </row>
    <row r="9" ht="22.5" customHeight="1">
      <c r="A9" s="4">
        <v>46209.72651684028</v>
      </c>
      <c r="B9" s="5">
        <v>25.0</v>
      </c>
      <c r="C9" s="5" t="s">
        <v>36</v>
      </c>
      <c r="D9" s="5" t="s">
        <v>75</v>
      </c>
      <c r="E9" s="5" t="s">
        <v>53</v>
      </c>
      <c r="F9" s="5" t="s">
        <v>39</v>
      </c>
      <c r="G9" s="5" t="s">
        <v>76</v>
      </c>
      <c r="H9" s="5" t="s">
        <v>54</v>
      </c>
      <c r="I9" s="5" t="s">
        <v>43</v>
      </c>
      <c r="J9" s="5" t="s">
        <v>42</v>
      </c>
      <c r="K9" s="5" t="s">
        <v>44</v>
      </c>
      <c r="L9" s="5" t="s">
        <v>42</v>
      </c>
      <c r="M9" s="5" t="s">
        <v>44</v>
      </c>
      <c r="N9" s="5" t="s">
        <v>43</v>
      </c>
      <c r="O9" s="5" t="s">
        <v>46</v>
      </c>
      <c r="P9" s="5" t="s">
        <v>42</v>
      </c>
      <c r="Q9" s="5" t="s">
        <v>44</v>
      </c>
      <c r="R9" s="5" t="s">
        <v>49</v>
      </c>
      <c r="S9" s="5" t="s">
        <v>57</v>
      </c>
      <c r="T9" s="5" t="s">
        <v>57</v>
      </c>
      <c r="U9" s="5" t="s">
        <v>69</v>
      </c>
      <c r="V9" s="5" t="s">
        <v>57</v>
      </c>
      <c r="W9" s="5" t="s">
        <v>43</v>
      </c>
      <c r="X9" s="5" t="s">
        <v>44</v>
      </c>
      <c r="Y9" s="5" t="s">
        <v>43</v>
      </c>
      <c r="Z9" s="5" t="s">
        <v>45</v>
      </c>
      <c r="AA9" s="5" t="s">
        <v>43</v>
      </c>
      <c r="AB9" s="5" t="s">
        <v>44</v>
      </c>
      <c r="AC9" s="5" t="s">
        <v>50</v>
      </c>
      <c r="AD9" s="5" t="s">
        <v>43</v>
      </c>
      <c r="AE9" s="5" t="s">
        <v>44</v>
      </c>
      <c r="AF9" s="5" t="s">
        <v>43</v>
      </c>
      <c r="AG9" s="5" t="s">
        <v>47</v>
      </c>
      <c r="AH9" s="5" t="s">
        <v>69</v>
      </c>
      <c r="AI9" s="5" t="s">
        <v>57</v>
      </c>
      <c r="AJ9" s="5" t="s">
        <v>69</v>
      </c>
    </row>
    <row r="10" ht="22.5" customHeight="1">
      <c r="A10" s="4">
        <v>46211.46377298611</v>
      </c>
      <c r="B10" s="5">
        <v>27.0</v>
      </c>
      <c r="C10" s="5" t="s">
        <v>58</v>
      </c>
      <c r="D10" s="5" t="s">
        <v>77</v>
      </c>
      <c r="E10" s="5" t="s">
        <v>53</v>
      </c>
      <c r="F10" s="5" t="s">
        <v>78</v>
      </c>
      <c r="H10" s="5" t="s">
        <v>54</v>
      </c>
      <c r="I10" s="5" t="s">
        <v>44</v>
      </c>
      <c r="J10" s="5" t="s">
        <v>42</v>
      </c>
      <c r="K10" s="5" t="s">
        <v>46</v>
      </c>
      <c r="L10" s="5" t="s">
        <v>42</v>
      </c>
      <c r="M10" s="5" t="s">
        <v>46</v>
      </c>
      <c r="N10" s="5" t="s">
        <v>45</v>
      </c>
      <c r="O10" s="5" t="s">
        <v>46</v>
      </c>
      <c r="P10" s="5" t="s">
        <v>42</v>
      </c>
      <c r="Q10" s="5" t="s">
        <v>46</v>
      </c>
      <c r="R10" s="5" t="s">
        <v>42</v>
      </c>
      <c r="S10" s="5" t="s">
        <v>47</v>
      </c>
      <c r="T10" s="5" t="s">
        <v>47</v>
      </c>
      <c r="U10" s="5" t="s">
        <v>56</v>
      </c>
      <c r="V10" s="5" t="s">
        <v>57</v>
      </c>
      <c r="W10" s="5" t="s">
        <v>45</v>
      </c>
      <c r="X10" s="5" t="s">
        <v>44</v>
      </c>
      <c r="Y10" s="5" t="s">
        <v>42</v>
      </c>
      <c r="Z10" s="5" t="s">
        <v>42</v>
      </c>
      <c r="AA10" s="5" t="s">
        <v>44</v>
      </c>
      <c r="AB10" s="5" t="s">
        <v>44</v>
      </c>
      <c r="AC10" s="5" t="s">
        <v>44</v>
      </c>
      <c r="AD10" s="5" t="s">
        <v>45</v>
      </c>
      <c r="AE10" s="5" t="s">
        <v>43</v>
      </c>
      <c r="AF10" s="5" t="s">
        <v>42</v>
      </c>
      <c r="AG10" s="5" t="s">
        <v>48</v>
      </c>
      <c r="AH10" s="5" t="s">
        <v>48</v>
      </c>
      <c r="AI10" s="5" t="s">
        <v>48</v>
      </c>
      <c r="AJ10" s="5" t="s">
        <v>48</v>
      </c>
    </row>
    <row r="11" ht="22.5" customHeight="1">
      <c r="A11" s="4">
        <v>46213.712920011574</v>
      </c>
      <c r="B11" s="5">
        <v>27.0</v>
      </c>
      <c r="C11" s="5" t="s">
        <v>36</v>
      </c>
      <c r="D11" s="5" t="s">
        <v>79</v>
      </c>
      <c r="E11" s="5" t="s">
        <v>80</v>
      </c>
      <c r="F11" s="5" t="s">
        <v>78</v>
      </c>
      <c r="G11" s="5" t="s">
        <v>81</v>
      </c>
      <c r="H11" s="5" t="s">
        <v>54</v>
      </c>
      <c r="I11" s="5" t="s">
        <v>45</v>
      </c>
      <c r="J11" s="5" t="s">
        <v>42</v>
      </c>
      <c r="K11" s="5" t="s">
        <v>45</v>
      </c>
      <c r="L11" s="5" t="s">
        <v>43</v>
      </c>
      <c r="M11" s="5" t="s">
        <v>42</v>
      </c>
      <c r="N11" s="5" t="s">
        <v>42</v>
      </c>
      <c r="O11" s="5" t="s">
        <v>46</v>
      </c>
      <c r="P11" s="5" t="s">
        <v>45</v>
      </c>
      <c r="Q11" s="5" t="s">
        <v>44</v>
      </c>
      <c r="R11" s="5" t="s">
        <v>42</v>
      </c>
      <c r="S11" s="5" t="s">
        <v>47</v>
      </c>
      <c r="T11" s="5" t="s">
        <v>69</v>
      </c>
      <c r="U11" s="5" t="s">
        <v>47</v>
      </c>
      <c r="V11" s="5" t="s">
        <v>48</v>
      </c>
      <c r="W11" s="5" t="s">
        <v>49</v>
      </c>
      <c r="X11" s="5" t="s">
        <v>44</v>
      </c>
      <c r="Y11" s="5" t="s">
        <v>42</v>
      </c>
      <c r="Z11" s="5" t="s">
        <v>49</v>
      </c>
      <c r="AA11" s="5" t="s">
        <v>49</v>
      </c>
      <c r="AB11" s="5" t="s">
        <v>49</v>
      </c>
      <c r="AC11" s="5" t="s">
        <v>45</v>
      </c>
      <c r="AD11" s="5" t="s">
        <v>45</v>
      </c>
      <c r="AE11" s="5" t="s">
        <v>42</v>
      </c>
      <c r="AF11" s="5" t="s">
        <v>45</v>
      </c>
      <c r="AG11" s="5" t="s">
        <v>51</v>
      </c>
      <c r="AH11" s="5" t="s">
        <v>51</v>
      </c>
      <c r="AI11" s="5" t="s">
        <v>51</v>
      </c>
      <c r="AJ11" s="5" t="s">
        <v>51</v>
      </c>
    </row>
    <row r="12" ht="22.5" customHeight="1">
      <c r="A12" s="4">
        <v>46217.71269659723</v>
      </c>
      <c r="B12" s="5">
        <v>23.0</v>
      </c>
      <c r="C12" s="5" t="s">
        <v>58</v>
      </c>
      <c r="D12" s="5" t="s">
        <v>82</v>
      </c>
      <c r="F12" s="5" t="s">
        <v>67</v>
      </c>
      <c r="H12" s="5" t="s">
        <v>61</v>
      </c>
      <c r="I12" s="5" t="s">
        <v>46</v>
      </c>
      <c r="J12" s="5" t="s">
        <v>42</v>
      </c>
      <c r="K12" s="5" t="s">
        <v>46</v>
      </c>
      <c r="L12" s="5" t="s">
        <v>44</v>
      </c>
      <c r="M12" s="5" t="s">
        <v>46</v>
      </c>
      <c r="N12" s="5" t="s">
        <v>49</v>
      </c>
      <c r="O12" s="5" t="s">
        <v>46</v>
      </c>
      <c r="P12" s="5" t="s">
        <v>42</v>
      </c>
      <c r="Q12" s="5" t="s">
        <v>46</v>
      </c>
      <c r="R12" s="5" t="s">
        <v>44</v>
      </c>
      <c r="S12" s="5" t="s">
        <v>56</v>
      </c>
      <c r="T12" s="5" t="s">
        <v>56</v>
      </c>
      <c r="U12" s="5" t="s">
        <v>56</v>
      </c>
      <c r="V12" s="5" t="s">
        <v>56</v>
      </c>
      <c r="W12" s="5" t="s">
        <v>42</v>
      </c>
      <c r="X12" s="5" t="s">
        <v>50</v>
      </c>
      <c r="Y12" s="5" t="s">
        <v>42</v>
      </c>
      <c r="Z12" s="5" t="s">
        <v>50</v>
      </c>
      <c r="AA12" s="5" t="s">
        <v>42</v>
      </c>
      <c r="AB12" s="5" t="s">
        <v>50</v>
      </c>
      <c r="AC12" s="5" t="s">
        <v>42</v>
      </c>
      <c r="AD12" s="5" t="s">
        <v>46</v>
      </c>
      <c r="AE12" s="5" t="s">
        <v>42</v>
      </c>
      <c r="AF12" s="5" t="s">
        <v>50</v>
      </c>
      <c r="AG12" s="5" t="s">
        <v>48</v>
      </c>
      <c r="AH12" s="5" t="s">
        <v>47</v>
      </c>
      <c r="AI12" s="5" t="s">
        <v>47</v>
      </c>
      <c r="AJ12" s="5" t="s">
        <v>48</v>
      </c>
    </row>
    <row r="13" ht="22.5" customHeight="1">
      <c r="A13" s="4">
        <v>46218.65463549769</v>
      </c>
      <c r="B13" s="5">
        <v>24.0</v>
      </c>
      <c r="C13" s="5" t="s">
        <v>58</v>
      </c>
      <c r="D13" s="5" t="s">
        <v>83</v>
      </c>
      <c r="E13" s="5" t="s">
        <v>53</v>
      </c>
      <c r="F13" s="5" t="s">
        <v>67</v>
      </c>
      <c r="G13" s="5" t="s">
        <v>84</v>
      </c>
      <c r="H13" s="5" t="s">
        <v>54</v>
      </c>
      <c r="I13" s="5" t="s">
        <v>43</v>
      </c>
      <c r="J13" s="5" t="s">
        <v>44</v>
      </c>
      <c r="K13" s="5" t="s">
        <v>45</v>
      </c>
      <c r="L13" s="5" t="s">
        <v>49</v>
      </c>
      <c r="M13" s="5" t="s">
        <v>44</v>
      </c>
      <c r="N13" s="5" t="s">
        <v>44</v>
      </c>
      <c r="O13" s="5" t="s">
        <v>44</v>
      </c>
      <c r="P13" s="5" t="s">
        <v>44</v>
      </c>
      <c r="Q13" s="5" t="s">
        <v>45</v>
      </c>
      <c r="R13" s="5" t="s">
        <v>42</v>
      </c>
      <c r="S13" s="5" t="s">
        <v>57</v>
      </c>
      <c r="T13" s="5" t="s">
        <v>48</v>
      </c>
      <c r="U13" s="5" t="s">
        <v>57</v>
      </c>
      <c r="V13" s="5" t="s">
        <v>69</v>
      </c>
      <c r="W13" s="5" t="s">
        <v>44</v>
      </c>
      <c r="X13" s="5" t="s">
        <v>45</v>
      </c>
      <c r="Y13" s="5" t="s">
        <v>46</v>
      </c>
      <c r="Z13" s="5" t="s">
        <v>42</v>
      </c>
      <c r="AA13" s="5" t="s">
        <v>46</v>
      </c>
      <c r="AB13" s="5" t="s">
        <v>42</v>
      </c>
      <c r="AC13" s="5" t="s">
        <v>46</v>
      </c>
      <c r="AD13" s="5" t="s">
        <v>45</v>
      </c>
      <c r="AE13" s="5" t="s">
        <v>46</v>
      </c>
      <c r="AF13" s="5" t="s">
        <v>42</v>
      </c>
      <c r="AG13" s="5" t="s">
        <v>56</v>
      </c>
      <c r="AH13" s="5" t="s">
        <v>57</v>
      </c>
      <c r="AI13" s="5" t="s">
        <v>56</v>
      </c>
      <c r="AJ13" s="5" t="s">
        <v>56</v>
      </c>
    </row>
    <row r="14" ht="22.5" customHeight="1">
      <c r="A14" s="4">
        <v>46219.402128807866</v>
      </c>
      <c r="B14" s="5">
        <v>23.0</v>
      </c>
      <c r="C14" s="5" t="s">
        <v>58</v>
      </c>
      <c r="D14" s="5" t="s">
        <v>85</v>
      </c>
      <c r="E14" s="5" t="s">
        <v>86</v>
      </c>
      <c r="F14" s="5" t="s">
        <v>67</v>
      </c>
      <c r="G14" s="5" t="s">
        <v>87</v>
      </c>
      <c r="H14" s="5" t="s">
        <v>54</v>
      </c>
      <c r="I14" s="5" t="s">
        <v>44</v>
      </c>
      <c r="J14" s="5" t="s">
        <v>44</v>
      </c>
      <c r="K14" s="5" t="s">
        <v>44</v>
      </c>
      <c r="L14" s="5" t="s">
        <v>45</v>
      </c>
      <c r="M14" s="5" t="s">
        <v>44</v>
      </c>
      <c r="N14" s="5" t="s">
        <v>43</v>
      </c>
      <c r="O14" s="5" t="s">
        <v>46</v>
      </c>
      <c r="P14" s="5" t="s">
        <v>44</v>
      </c>
      <c r="Q14" s="5" t="s">
        <v>46</v>
      </c>
      <c r="R14" s="5" t="s">
        <v>42</v>
      </c>
      <c r="S14" s="5" t="s">
        <v>57</v>
      </c>
      <c r="T14" s="5" t="s">
        <v>69</v>
      </c>
      <c r="U14" s="5" t="s">
        <v>57</v>
      </c>
      <c r="V14" s="5" t="s">
        <v>57</v>
      </c>
      <c r="W14" s="5" t="s">
        <v>46</v>
      </c>
      <c r="X14" s="5" t="s">
        <v>42</v>
      </c>
      <c r="Y14" s="5" t="s">
        <v>46</v>
      </c>
      <c r="Z14" s="5" t="s">
        <v>42</v>
      </c>
      <c r="AA14" s="5" t="s">
        <v>46</v>
      </c>
      <c r="AB14" s="5" t="s">
        <v>45</v>
      </c>
      <c r="AC14" s="5" t="s">
        <v>46</v>
      </c>
      <c r="AD14" s="5" t="s">
        <v>45</v>
      </c>
      <c r="AE14" s="5" t="s">
        <v>46</v>
      </c>
      <c r="AF14" s="5" t="s">
        <v>49</v>
      </c>
      <c r="AG14" s="5" t="s">
        <v>56</v>
      </c>
      <c r="AH14" s="5" t="s">
        <v>56</v>
      </c>
      <c r="AI14" s="5" t="s">
        <v>56</v>
      </c>
      <c r="AJ14" s="5" t="s">
        <v>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7.63"/>
    <col customWidth="1" min="29" max="34" width="18.88"/>
  </cols>
  <sheetData>
    <row r="1" ht="22.5" customHeight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</row>
    <row r="2" ht="22.5" customHeight="1">
      <c r="A2" s="5" t="s">
        <v>46</v>
      </c>
      <c r="B2" s="5" t="s">
        <v>45</v>
      </c>
      <c r="C2" s="5" t="s">
        <v>50</v>
      </c>
      <c r="D2" s="5" t="s">
        <v>49</v>
      </c>
      <c r="E2" s="5" t="s">
        <v>46</v>
      </c>
      <c r="F2" s="5" t="s">
        <v>42</v>
      </c>
      <c r="G2" s="5" t="s">
        <v>50</v>
      </c>
      <c r="H2" s="5" t="s">
        <v>49</v>
      </c>
      <c r="I2" s="5" t="s">
        <v>50</v>
      </c>
      <c r="J2" s="5" t="s">
        <v>49</v>
      </c>
      <c r="K2" s="5" t="s">
        <v>55</v>
      </c>
      <c r="L2" s="5" t="s">
        <v>56</v>
      </c>
      <c r="M2" s="5" t="s">
        <v>55</v>
      </c>
      <c r="N2" s="5" t="s">
        <v>56</v>
      </c>
      <c r="O2" s="5" t="s">
        <v>46</v>
      </c>
      <c r="P2" s="5" t="s">
        <v>45</v>
      </c>
      <c r="Q2" s="5" t="s">
        <v>50</v>
      </c>
      <c r="R2" s="5" t="s">
        <v>49</v>
      </c>
      <c r="S2" s="5" t="s">
        <v>50</v>
      </c>
      <c r="T2" s="5" t="s">
        <v>42</v>
      </c>
      <c r="U2" s="5" t="s">
        <v>50</v>
      </c>
      <c r="V2" s="5" t="s">
        <v>49</v>
      </c>
      <c r="W2" s="5" t="s">
        <v>50</v>
      </c>
      <c r="X2" s="5" t="s">
        <v>49</v>
      </c>
      <c r="Y2" s="5" t="s">
        <v>56</v>
      </c>
      <c r="Z2" s="5" t="s">
        <v>56</v>
      </c>
      <c r="AA2" s="5" t="s">
        <v>57</v>
      </c>
      <c r="AB2" s="5" t="s">
        <v>56</v>
      </c>
    </row>
    <row r="3" ht="22.5" customHeight="1">
      <c r="A3" s="5" t="s">
        <v>46</v>
      </c>
      <c r="B3" s="5" t="s">
        <v>42</v>
      </c>
      <c r="C3" s="5" t="s">
        <v>50</v>
      </c>
      <c r="D3" s="5" t="s">
        <v>42</v>
      </c>
      <c r="E3" s="5" t="s">
        <v>50</v>
      </c>
      <c r="F3" s="5" t="s">
        <v>42</v>
      </c>
      <c r="G3" s="5" t="s">
        <v>46</v>
      </c>
      <c r="H3" s="5" t="s">
        <v>42</v>
      </c>
      <c r="I3" s="5" t="s">
        <v>46</v>
      </c>
      <c r="J3" s="5" t="s">
        <v>45</v>
      </c>
      <c r="K3" s="5" t="s">
        <v>56</v>
      </c>
      <c r="L3" s="5" t="s">
        <v>55</v>
      </c>
      <c r="M3" s="5" t="s">
        <v>55</v>
      </c>
      <c r="N3" s="5" t="s">
        <v>55</v>
      </c>
      <c r="O3" s="5" t="s">
        <v>44</v>
      </c>
      <c r="P3" s="5" t="s">
        <v>42</v>
      </c>
      <c r="Q3" s="5" t="s">
        <v>46</v>
      </c>
      <c r="R3" s="5" t="s">
        <v>45</v>
      </c>
      <c r="S3" s="5" t="s">
        <v>46</v>
      </c>
      <c r="T3" s="5" t="s">
        <v>45</v>
      </c>
      <c r="U3" s="5" t="s">
        <v>46</v>
      </c>
      <c r="V3" s="5" t="s">
        <v>42</v>
      </c>
      <c r="W3" s="5" t="s">
        <v>46</v>
      </c>
      <c r="X3" s="5" t="s">
        <v>43</v>
      </c>
      <c r="Y3" s="5" t="s">
        <v>56</v>
      </c>
      <c r="Z3" s="5" t="s">
        <v>56</v>
      </c>
      <c r="AA3" s="5" t="s">
        <v>56</v>
      </c>
      <c r="AB3" s="5" t="s">
        <v>55</v>
      </c>
    </row>
    <row r="4" ht="22.5" customHeight="1">
      <c r="A4" s="5" t="s">
        <v>49</v>
      </c>
      <c r="B4" s="5" t="s">
        <v>50</v>
      </c>
      <c r="C4" s="5" t="s">
        <v>42</v>
      </c>
      <c r="D4" s="5" t="s">
        <v>45</v>
      </c>
      <c r="E4" s="5" t="s">
        <v>42</v>
      </c>
      <c r="F4" s="5" t="s">
        <v>45</v>
      </c>
      <c r="G4" s="5" t="s">
        <v>42</v>
      </c>
      <c r="H4" s="5" t="s">
        <v>50</v>
      </c>
      <c r="I4" s="5" t="s">
        <v>44</v>
      </c>
      <c r="J4" s="5" t="s">
        <v>44</v>
      </c>
      <c r="K4" s="5" t="s">
        <v>51</v>
      </c>
      <c r="L4" s="5" t="s">
        <v>48</v>
      </c>
      <c r="M4" s="5" t="s">
        <v>47</v>
      </c>
      <c r="N4" s="5" t="s">
        <v>48</v>
      </c>
      <c r="O4" s="5" t="s">
        <v>49</v>
      </c>
      <c r="P4" s="5" t="s">
        <v>46</v>
      </c>
      <c r="Q4" s="5" t="s">
        <v>42</v>
      </c>
      <c r="R4" s="5" t="s">
        <v>45</v>
      </c>
      <c r="S4" s="5" t="s">
        <v>42</v>
      </c>
      <c r="T4" s="5" t="s">
        <v>46</v>
      </c>
      <c r="U4" s="5" t="s">
        <v>42</v>
      </c>
      <c r="V4" s="5" t="s">
        <v>46</v>
      </c>
      <c r="W4" s="5" t="s">
        <v>44</v>
      </c>
      <c r="X4" s="5" t="s">
        <v>44</v>
      </c>
      <c r="Y4" s="5" t="s">
        <v>51</v>
      </c>
      <c r="Z4" s="5" t="s">
        <v>48</v>
      </c>
      <c r="AA4" s="5" t="s">
        <v>48</v>
      </c>
      <c r="AB4" s="5" t="s">
        <v>51</v>
      </c>
    </row>
    <row r="5" ht="22.5" customHeight="1">
      <c r="A5" s="5" t="s">
        <v>45</v>
      </c>
      <c r="B5" s="5" t="s">
        <v>43</v>
      </c>
      <c r="C5" s="5" t="s">
        <v>44</v>
      </c>
      <c r="D5" s="5" t="s">
        <v>45</v>
      </c>
      <c r="E5" s="5" t="s">
        <v>44</v>
      </c>
      <c r="F5" s="5" t="s">
        <v>46</v>
      </c>
      <c r="G5" s="5" t="s">
        <v>44</v>
      </c>
      <c r="H5" s="5" t="s">
        <v>44</v>
      </c>
      <c r="I5" s="5" t="s">
        <v>44</v>
      </c>
      <c r="J5" s="5" t="s">
        <v>42</v>
      </c>
      <c r="K5" s="5" t="s">
        <v>47</v>
      </c>
      <c r="L5" s="5" t="s">
        <v>57</v>
      </c>
      <c r="M5" s="5" t="s">
        <v>69</v>
      </c>
      <c r="N5" s="5" t="s">
        <v>57</v>
      </c>
      <c r="O5" s="5" t="s">
        <v>44</v>
      </c>
      <c r="P5" s="5" t="s">
        <v>45</v>
      </c>
      <c r="Q5" s="5" t="s">
        <v>44</v>
      </c>
      <c r="R5" s="5" t="s">
        <v>42</v>
      </c>
      <c r="S5" s="5" t="s">
        <v>44</v>
      </c>
      <c r="T5" s="5" t="s">
        <v>42</v>
      </c>
      <c r="U5" s="5" t="s">
        <v>46</v>
      </c>
      <c r="V5" s="5" t="s">
        <v>45</v>
      </c>
      <c r="W5" s="5" t="s">
        <v>50</v>
      </c>
      <c r="X5" s="5" t="s">
        <v>43</v>
      </c>
      <c r="Y5" s="5" t="s">
        <v>56</v>
      </c>
      <c r="Z5" s="5" t="s">
        <v>55</v>
      </c>
      <c r="AA5" s="5" t="s">
        <v>56</v>
      </c>
      <c r="AB5" s="5" t="s">
        <v>56</v>
      </c>
    </row>
    <row r="6" ht="22.5" customHeight="1">
      <c r="A6" s="5" t="s">
        <v>44</v>
      </c>
      <c r="B6" s="5" t="s">
        <v>42</v>
      </c>
      <c r="C6" s="5" t="s">
        <v>44</v>
      </c>
      <c r="D6" s="5" t="s">
        <v>43</v>
      </c>
      <c r="E6" s="5" t="s">
        <v>50</v>
      </c>
      <c r="F6" s="5" t="s">
        <v>43</v>
      </c>
      <c r="G6" s="5" t="s">
        <v>50</v>
      </c>
      <c r="H6" s="5" t="s">
        <v>42</v>
      </c>
      <c r="I6" s="5" t="s">
        <v>50</v>
      </c>
      <c r="J6" s="5" t="s">
        <v>49</v>
      </c>
      <c r="K6" s="5" t="s">
        <v>55</v>
      </c>
      <c r="L6" s="5" t="s">
        <v>55</v>
      </c>
      <c r="M6" s="5" t="s">
        <v>55</v>
      </c>
      <c r="N6" s="5" t="s">
        <v>55</v>
      </c>
      <c r="O6" s="5" t="s">
        <v>50</v>
      </c>
      <c r="P6" s="5" t="s">
        <v>49</v>
      </c>
      <c r="Q6" s="5" t="s">
        <v>50</v>
      </c>
      <c r="R6" s="5" t="s">
        <v>49</v>
      </c>
      <c r="S6" s="5" t="s">
        <v>50</v>
      </c>
      <c r="T6" s="5" t="s">
        <v>49</v>
      </c>
      <c r="U6" s="5" t="s">
        <v>50</v>
      </c>
      <c r="V6" s="5" t="s">
        <v>49</v>
      </c>
      <c r="W6" s="5" t="s">
        <v>50</v>
      </c>
      <c r="X6" s="5" t="s">
        <v>49</v>
      </c>
      <c r="Y6" s="5" t="s">
        <v>55</v>
      </c>
      <c r="Z6" s="5" t="s">
        <v>55</v>
      </c>
      <c r="AA6" s="5" t="s">
        <v>55</v>
      </c>
      <c r="AB6" s="5" t="s">
        <v>55</v>
      </c>
    </row>
    <row r="7" ht="22.5" customHeight="1">
      <c r="A7" s="5" t="s">
        <v>44</v>
      </c>
      <c r="B7" s="5" t="s">
        <v>42</v>
      </c>
      <c r="C7" s="5" t="s">
        <v>46</v>
      </c>
      <c r="D7" s="5" t="s">
        <v>42</v>
      </c>
      <c r="E7" s="5" t="s">
        <v>50</v>
      </c>
      <c r="F7" s="5" t="s">
        <v>43</v>
      </c>
      <c r="G7" s="5" t="s">
        <v>46</v>
      </c>
      <c r="H7" s="5" t="s">
        <v>42</v>
      </c>
      <c r="I7" s="5" t="s">
        <v>50</v>
      </c>
      <c r="J7" s="5" t="s">
        <v>49</v>
      </c>
      <c r="K7" s="5" t="s">
        <v>57</v>
      </c>
      <c r="L7" s="5" t="s">
        <v>57</v>
      </c>
      <c r="M7" s="5" t="s">
        <v>56</v>
      </c>
      <c r="N7" s="5" t="s">
        <v>56</v>
      </c>
      <c r="O7" s="5" t="s">
        <v>44</v>
      </c>
      <c r="P7" s="5" t="s">
        <v>42</v>
      </c>
      <c r="Q7" s="5" t="s">
        <v>50</v>
      </c>
      <c r="R7" s="5" t="s">
        <v>42</v>
      </c>
      <c r="S7" s="5" t="s">
        <v>46</v>
      </c>
      <c r="T7" s="5" t="s">
        <v>45</v>
      </c>
      <c r="U7" s="5" t="s">
        <v>46</v>
      </c>
      <c r="V7" s="5" t="s">
        <v>42</v>
      </c>
      <c r="W7" s="5" t="s">
        <v>50</v>
      </c>
      <c r="X7" s="5" t="s">
        <v>42</v>
      </c>
      <c r="Y7" s="5" t="s">
        <v>56</v>
      </c>
      <c r="Z7" s="5" t="s">
        <v>56</v>
      </c>
      <c r="AA7" s="5" t="s">
        <v>56</v>
      </c>
      <c r="AB7" s="5" t="s">
        <v>56</v>
      </c>
    </row>
    <row r="8" ht="22.5" customHeight="1">
      <c r="A8" s="5" t="s">
        <v>43</v>
      </c>
      <c r="B8" s="5" t="s">
        <v>44</v>
      </c>
      <c r="C8" s="5" t="s">
        <v>43</v>
      </c>
      <c r="D8" s="5" t="s">
        <v>45</v>
      </c>
      <c r="E8" s="5" t="s">
        <v>43</v>
      </c>
      <c r="F8" s="5" t="s">
        <v>44</v>
      </c>
      <c r="G8" s="5" t="s">
        <v>50</v>
      </c>
      <c r="H8" s="5" t="s">
        <v>43</v>
      </c>
      <c r="I8" s="5" t="s">
        <v>44</v>
      </c>
      <c r="J8" s="5" t="s">
        <v>43</v>
      </c>
      <c r="K8" s="5" t="s">
        <v>47</v>
      </c>
      <c r="L8" s="5" t="s">
        <v>69</v>
      </c>
      <c r="M8" s="5" t="s">
        <v>57</v>
      </c>
      <c r="N8" s="5" t="s">
        <v>69</v>
      </c>
      <c r="O8" s="5" t="s">
        <v>43</v>
      </c>
      <c r="P8" s="5" t="s">
        <v>42</v>
      </c>
      <c r="Q8" s="5" t="s">
        <v>44</v>
      </c>
      <c r="R8" s="5" t="s">
        <v>42</v>
      </c>
      <c r="S8" s="5" t="s">
        <v>44</v>
      </c>
      <c r="T8" s="5" t="s">
        <v>43</v>
      </c>
      <c r="U8" s="5" t="s">
        <v>46</v>
      </c>
      <c r="V8" s="5" t="s">
        <v>42</v>
      </c>
      <c r="W8" s="5" t="s">
        <v>44</v>
      </c>
      <c r="X8" s="5" t="s">
        <v>49</v>
      </c>
      <c r="Y8" s="5" t="s">
        <v>57</v>
      </c>
      <c r="Z8" s="5" t="s">
        <v>57</v>
      </c>
      <c r="AA8" s="5" t="s">
        <v>69</v>
      </c>
      <c r="AB8" s="5" t="s">
        <v>57</v>
      </c>
    </row>
    <row r="9" ht="22.5" customHeight="1">
      <c r="A9" s="5" t="s">
        <v>45</v>
      </c>
      <c r="B9" s="5" t="s">
        <v>44</v>
      </c>
      <c r="C9" s="5" t="s">
        <v>42</v>
      </c>
      <c r="D9" s="5" t="s">
        <v>42</v>
      </c>
      <c r="E9" s="5" t="s">
        <v>44</v>
      </c>
      <c r="F9" s="5" t="s">
        <v>44</v>
      </c>
      <c r="G9" s="5" t="s">
        <v>44</v>
      </c>
      <c r="H9" s="5" t="s">
        <v>45</v>
      </c>
      <c r="I9" s="5" t="s">
        <v>43</v>
      </c>
      <c r="J9" s="5" t="s">
        <v>42</v>
      </c>
      <c r="K9" s="5" t="s">
        <v>48</v>
      </c>
      <c r="L9" s="5" t="s">
        <v>48</v>
      </c>
      <c r="M9" s="5" t="s">
        <v>48</v>
      </c>
      <c r="N9" s="5" t="s">
        <v>48</v>
      </c>
      <c r="O9" s="5" t="s">
        <v>44</v>
      </c>
      <c r="P9" s="5" t="s">
        <v>42</v>
      </c>
      <c r="Q9" s="5" t="s">
        <v>46</v>
      </c>
      <c r="R9" s="5" t="s">
        <v>42</v>
      </c>
      <c r="S9" s="5" t="s">
        <v>46</v>
      </c>
      <c r="T9" s="5" t="s">
        <v>45</v>
      </c>
      <c r="U9" s="5" t="s">
        <v>46</v>
      </c>
      <c r="V9" s="5" t="s">
        <v>42</v>
      </c>
      <c r="W9" s="5" t="s">
        <v>46</v>
      </c>
      <c r="X9" s="5" t="s">
        <v>42</v>
      </c>
      <c r="Y9" s="5" t="s">
        <v>47</v>
      </c>
      <c r="Z9" s="5" t="s">
        <v>47</v>
      </c>
      <c r="AA9" s="5" t="s">
        <v>56</v>
      </c>
      <c r="AB9" s="5" t="s">
        <v>57</v>
      </c>
    </row>
    <row r="10" ht="22.5" customHeight="1">
      <c r="A10" s="5" t="s">
        <v>45</v>
      </c>
      <c r="B10" s="5" t="s">
        <v>42</v>
      </c>
      <c r="C10" s="5" t="s">
        <v>45</v>
      </c>
      <c r="D10" s="5" t="s">
        <v>43</v>
      </c>
      <c r="E10" s="5" t="s">
        <v>42</v>
      </c>
      <c r="F10" s="5" t="s">
        <v>42</v>
      </c>
      <c r="G10" s="5" t="s">
        <v>46</v>
      </c>
      <c r="H10" s="5" t="s">
        <v>45</v>
      </c>
      <c r="I10" s="5" t="s">
        <v>44</v>
      </c>
      <c r="J10" s="5" t="s">
        <v>42</v>
      </c>
      <c r="K10" s="5" t="s">
        <v>47</v>
      </c>
      <c r="L10" s="5" t="s">
        <v>69</v>
      </c>
      <c r="M10" s="5" t="s">
        <v>47</v>
      </c>
      <c r="N10" s="5" t="s">
        <v>48</v>
      </c>
      <c r="O10" s="5" t="s">
        <v>49</v>
      </c>
      <c r="P10" s="5" t="s">
        <v>44</v>
      </c>
      <c r="Q10" s="5" t="s">
        <v>42</v>
      </c>
      <c r="R10" s="5" t="s">
        <v>49</v>
      </c>
      <c r="S10" s="5" t="s">
        <v>49</v>
      </c>
      <c r="T10" s="5" t="s">
        <v>49</v>
      </c>
      <c r="U10" s="5" t="s">
        <v>45</v>
      </c>
      <c r="V10" s="5" t="s">
        <v>45</v>
      </c>
      <c r="W10" s="5" t="s">
        <v>42</v>
      </c>
      <c r="X10" s="5" t="s">
        <v>45</v>
      </c>
      <c r="Y10" s="5" t="s">
        <v>51</v>
      </c>
      <c r="Z10" s="5" t="s">
        <v>51</v>
      </c>
      <c r="AA10" s="5" t="s">
        <v>51</v>
      </c>
      <c r="AB10" s="5" t="s">
        <v>51</v>
      </c>
    </row>
    <row r="11" ht="22.5" customHeight="1">
      <c r="A11" s="5" t="s">
        <v>42</v>
      </c>
      <c r="B11" s="5" t="s">
        <v>50</v>
      </c>
      <c r="C11" s="5" t="s">
        <v>42</v>
      </c>
      <c r="D11" s="5" t="s">
        <v>50</v>
      </c>
      <c r="E11" s="5" t="s">
        <v>42</v>
      </c>
      <c r="F11" s="5" t="s">
        <v>50</v>
      </c>
      <c r="G11" s="5" t="s">
        <v>42</v>
      </c>
      <c r="H11" s="5" t="s">
        <v>46</v>
      </c>
      <c r="I11" s="5" t="s">
        <v>42</v>
      </c>
      <c r="J11" s="5" t="s">
        <v>50</v>
      </c>
      <c r="K11" s="5" t="s">
        <v>48</v>
      </c>
      <c r="L11" s="5" t="s">
        <v>47</v>
      </c>
      <c r="M11" s="5" t="s">
        <v>47</v>
      </c>
      <c r="N11" s="5" t="s">
        <v>48</v>
      </c>
      <c r="O11" s="5" t="s">
        <v>46</v>
      </c>
      <c r="P11" s="5" t="s">
        <v>42</v>
      </c>
      <c r="Q11" s="5" t="s">
        <v>46</v>
      </c>
      <c r="R11" s="5" t="s">
        <v>44</v>
      </c>
      <c r="S11" s="5" t="s">
        <v>46</v>
      </c>
      <c r="T11" s="5" t="s">
        <v>49</v>
      </c>
      <c r="U11" s="5" t="s">
        <v>46</v>
      </c>
      <c r="V11" s="5" t="s">
        <v>42</v>
      </c>
      <c r="W11" s="5" t="s">
        <v>46</v>
      </c>
      <c r="X11" s="5" t="s">
        <v>44</v>
      </c>
      <c r="Y11" s="5" t="s">
        <v>56</v>
      </c>
      <c r="Z11" s="5" t="s">
        <v>56</v>
      </c>
      <c r="AA11" s="5" t="s">
        <v>56</v>
      </c>
      <c r="AB11" s="5" t="s">
        <v>56</v>
      </c>
    </row>
    <row r="12" ht="22.5" customHeight="1">
      <c r="A12" s="5" t="s">
        <v>43</v>
      </c>
      <c r="B12" s="5" t="s">
        <v>44</v>
      </c>
      <c r="C12" s="5" t="s">
        <v>45</v>
      </c>
      <c r="D12" s="5" t="s">
        <v>49</v>
      </c>
      <c r="E12" s="5" t="s">
        <v>44</v>
      </c>
      <c r="F12" s="5" t="s">
        <v>44</v>
      </c>
      <c r="G12" s="5" t="s">
        <v>44</v>
      </c>
      <c r="H12" s="5" t="s">
        <v>44</v>
      </c>
      <c r="I12" s="5" t="s">
        <v>45</v>
      </c>
      <c r="J12" s="5" t="s">
        <v>42</v>
      </c>
      <c r="K12" s="5" t="s">
        <v>57</v>
      </c>
      <c r="L12" s="5" t="s">
        <v>48</v>
      </c>
      <c r="M12" s="5" t="s">
        <v>57</v>
      </c>
      <c r="N12" s="5" t="s">
        <v>69</v>
      </c>
      <c r="O12" s="5" t="s">
        <v>44</v>
      </c>
      <c r="P12" s="5" t="s">
        <v>45</v>
      </c>
      <c r="Q12" s="5" t="s">
        <v>46</v>
      </c>
      <c r="R12" s="5" t="s">
        <v>42</v>
      </c>
      <c r="S12" s="5" t="s">
        <v>46</v>
      </c>
      <c r="T12" s="5" t="s">
        <v>42</v>
      </c>
      <c r="U12" s="5" t="s">
        <v>46</v>
      </c>
      <c r="V12" s="5" t="s">
        <v>45</v>
      </c>
      <c r="W12" s="5" t="s">
        <v>46</v>
      </c>
      <c r="X12" s="5" t="s">
        <v>42</v>
      </c>
      <c r="Y12" s="5" t="s">
        <v>56</v>
      </c>
      <c r="Z12" s="5" t="s">
        <v>57</v>
      </c>
      <c r="AA12" s="5" t="s">
        <v>56</v>
      </c>
      <c r="AB12" s="5" t="s">
        <v>56</v>
      </c>
    </row>
    <row r="13" ht="22.5" customHeight="1">
      <c r="A13" s="5" t="s">
        <v>46</v>
      </c>
      <c r="B13" s="5" t="s">
        <v>42</v>
      </c>
      <c r="C13" s="5" t="s">
        <v>46</v>
      </c>
      <c r="D13" s="5" t="s">
        <v>42</v>
      </c>
      <c r="E13" s="5" t="s">
        <v>46</v>
      </c>
      <c r="F13" s="5" t="s">
        <v>45</v>
      </c>
      <c r="G13" s="5" t="s">
        <v>46</v>
      </c>
      <c r="H13" s="5" t="s">
        <v>45</v>
      </c>
      <c r="I13" s="5" t="s">
        <v>46</v>
      </c>
      <c r="J13" s="5" t="s">
        <v>49</v>
      </c>
      <c r="K13" s="5" t="s">
        <v>56</v>
      </c>
      <c r="L13" s="5" t="s">
        <v>56</v>
      </c>
      <c r="M13" s="5" t="s">
        <v>56</v>
      </c>
      <c r="N13" s="5" t="s">
        <v>56</v>
      </c>
      <c r="O13" s="5" t="s">
        <v>44</v>
      </c>
      <c r="P13" s="5" t="s">
        <v>44</v>
      </c>
      <c r="Q13" s="5" t="s">
        <v>44</v>
      </c>
      <c r="R13" s="5" t="s">
        <v>45</v>
      </c>
      <c r="S13" s="5" t="s">
        <v>44</v>
      </c>
      <c r="T13" s="5" t="s">
        <v>43</v>
      </c>
      <c r="U13" s="5" t="s">
        <v>46</v>
      </c>
      <c r="V13" s="5" t="s">
        <v>44</v>
      </c>
      <c r="W13" s="5" t="s">
        <v>46</v>
      </c>
      <c r="X13" s="5" t="s">
        <v>42</v>
      </c>
      <c r="Y13" s="5" t="s">
        <v>57</v>
      </c>
      <c r="Z13" s="5" t="s">
        <v>69</v>
      </c>
      <c r="AA13" s="5" t="s">
        <v>57</v>
      </c>
      <c r="AB13" s="5" t="s">
        <v>57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8" width="37.63"/>
    <col customWidth="1" min="29" max="34" width="18.88"/>
  </cols>
  <sheetData>
    <row r="1" ht="22.5" customHeight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112</v>
      </c>
      <c r="Z1" s="1" t="s">
        <v>113</v>
      </c>
      <c r="AA1" s="1" t="s">
        <v>114</v>
      </c>
      <c r="AB1" s="1" t="s">
        <v>115</v>
      </c>
    </row>
    <row r="2" ht="22.5" customHeight="1">
      <c r="A2" s="5">
        <f>IF('Sorted Responses'!A2="","",
  SWITCH('Sorted Responses'!A2,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B2" s="5">
        <f>IF('Sorted Responses'!B2="","",
  SWITCH('Sorted Responses'!B2,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C2" s="5">
        <f>IF('Sorted Responses'!C2="","",
  SWITCH('Sorted Responses'!C2,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D2" s="5">
        <f>IF('Sorted Responses'!D2="","",
  SWITCH('Sorted Responses'!D2,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E2" s="5">
        <f>IF('Sorted Responses'!E2="","",
  SWITCH('Sorted Responses'!E2,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F2" s="5">
        <f>IF('Sorted Responses'!F2="","",
  SWITCH('Sorted Responses'!F2,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G2" s="5">
        <f>IF('Sorted Responses'!G2="","",
  SWITCH('Sorted Responses'!G2,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H2" s="5">
        <f>IF('Sorted Responses'!H2="","",
  SWITCH('Sorted Responses'!H2,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I2" s="5">
        <f>IF('Sorted Responses'!I2="","",
  SWITCH('Sorted Responses'!I2,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J2" s="5">
        <f>IF('Sorted Responses'!J2="","",
  SWITCH('Sorted Responses'!J2,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K2" s="5">
        <f>IF('Sorted Responses'!K2="","",
  SWITCH('Sorted Responses'!K2,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L2" s="5">
        <f>IF('Sorted Responses'!L2="","",
  SWITCH('Sorted Responses'!L2,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M2" s="5">
        <f>IF('Sorted Responses'!M2="","",
  SWITCH('Sorted Responses'!M2,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N2" s="5">
        <f>IF('Sorted Responses'!N2="","",
  SWITCH('Sorted Responses'!N2,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O2" s="5">
        <f>IF('Sorted Responses'!O2="","",
  SWITCH('Sorted Responses'!O2,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P2" s="5">
        <f>IF('Sorted Responses'!P2="","",
  SWITCH('Sorted Responses'!P2,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Q2" s="5">
        <f>IF('Sorted Responses'!Q2="","",
  SWITCH('Sorted Responses'!Q2,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R2" s="5">
        <f>IF('Sorted Responses'!R2="","",
  SWITCH('Sorted Responses'!R2,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S2" s="5">
        <f>IF('Sorted Responses'!S2="","",
  SWITCH('Sorted Responses'!S2,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T2" s="5">
        <f>IF('Sorted Responses'!T2="","",
  SWITCH('Sorted Responses'!T2,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U2" s="5">
        <f>IF('Sorted Responses'!U2="","",
  SWITCH('Sorted Responses'!U2,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V2" s="5">
        <f>IF('Sorted Responses'!V2="","",
  SWITCH('Sorted Responses'!V2,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W2" s="5">
        <f>IF('Sorted Responses'!W2="","",
  SWITCH('Sorted Responses'!W2,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X2" s="5">
        <f>IF('Sorted Responses'!X2="","",
  SWITCH('Sorted Responses'!X2,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Y2" s="5">
        <f>IF('Sorted Responses'!Y2="","",
  SWITCH('Sorted Responses'!Y2,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Z2" s="5">
        <f>IF('Sorted Responses'!Z2="","",
  SWITCH('Sorted Responses'!Z2,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A2" s="5">
        <f>IF('Sorted Responses'!AA2="","",
  SWITCH('Sorted Responses'!AA2,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AB2" s="5">
        <f>IF('Sorted Responses'!AB2="","",
  SWITCH('Sorted Responses'!AB2,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</row>
    <row r="3" ht="22.5" customHeight="1">
      <c r="A3" s="5">
        <f>IF('Sorted Responses'!A3="","",
  SWITCH('Sorted Responses'!A3,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B3" s="5">
        <f>IF('Sorted Responses'!B3="","",
  SWITCH('Sorted Responses'!B3,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C3" s="5">
        <f>IF('Sorted Responses'!C3="","",
  SWITCH('Sorted Responses'!C3,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D3" s="5">
        <f>IF('Sorted Responses'!D3="","",
  SWITCH('Sorted Responses'!D3,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E3" s="5">
        <f>IF('Sorted Responses'!E3="","",
  SWITCH('Sorted Responses'!E3,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F3" s="5">
        <f>IF('Sorted Responses'!F3="","",
  SWITCH('Sorted Responses'!F3,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G3" s="5">
        <f>IF('Sorted Responses'!G3="","",
  SWITCH('Sorted Responses'!G3,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H3" s="5">
        <f>IF('Sorted Responses'!H3="","",
  SWITCH('Sorted Responses'!H3,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I3" s="5">
        <f>IF('Sorted Responses'!I3="","",
  SWITCH('Sorted Responses'!I3,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J3" s="5">
        <f>IF('Sorted Responses'!J3="","",
  SWITCH('Sorted Responses'!J3,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K3" s="5">
        <f>IF('Sorted Responses'!K3="","",
  SWITCH('Sorted Responses'!K3,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L3" s="5">
        <f>IF('Sorted Responses'!L3="","",
  SWITCH('Sorted Responses'!L3,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M3" s="5">
        <f>IF('Sorted Responses'!M3="","",
  SWITCH('Sorted Responses'!M3,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N3" s="5">
        <f>IF('Sorted Responses'!N3="","",
  SWITCH('Sorted Responses'!N3,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O3" s="5">
        <f>IF('Sorted Responses'!O3="","",
  SWITCH('Sorted Responses'!O3,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P3" s="5">
        <f>IF('Sorted Responses'!P3="","",
  SWITCH('Sorted Responses'!P3,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Q3" s="5">
        <f>IF('Sorted Responses'!Q3="","",
  SWITCH('Sorted Responses'!Q3,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R3" s="5">
        <f>IF('Sorted Responses'!R3="","",
  SWITCH('Sorted Responses'!R3,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S3" s="5">
        <f>IF('Sorted Responses'!S3="","",
  SWITCH('Sorted Responses'!S3,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T3" s="5">
        <f>IF('Sorted Responses'!T3="","",
  SWITCH('Sorted Responses'!T3,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U3" s="5">
        <f>IF('Sorted Responses'!U3="","",
  SWITCH('Sorted Responses'!U3,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V3" s="5">
        <f>IF('Sorted Responses'!V3="","",
  SWITCH('Sorted Responses'!V3,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W3" s="5">
        <f>IF('Sorted Responses'!W3="","",
  SWITCH('Sorted Responses'!W3,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X3" s="5">
        <f>IF('Sorted Responses'!X3="","",
  SWITCH('Sorted Responses'!X3,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Y3" s="5">
        <f>IF('Sorted Responses'!Y3="","",
  SWITCH('Sorted Responses'!Y3,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Z3" s="5">
        <f>IF('Sorted Responses'!Z3="","",
  SWITCH('Sorted Responses'!Z3,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A3" s="5">
        <f>IF('Sorted Responses'!AA3="","",
  SWITCH('Sorted Responses'!AA3,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B3" s="5">
        <f>IF('Sorted Responses'!AB3="","",
  SWITCH('Sorted Responses'!AB3,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</row>
    <row r="4" ht="22.5" customHeight="1">
      <c r="A4" s="5">
        <f>IF('Sorted Responses'!A4="","",
  SWITCH('Sorted Responses'!A4,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B4" s="5">
        <f>IF('Sorted Responses'!B4="","",
  SWITCH('Sorted Responses'!B4,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C4" s="5">
        <f>IF('Sorted Responses'!C4="","",
  SWITCH('Sorted Responses'!C4,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D4" s="5">
        <f>IF('Sorted Responses'!D4="","",
  SWITCH('Sorted Responses'!D4,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E4" s="5">
        <f>IF('Sorted Responses'!E4="","",
  SWITCH('Sorted Responses'!E4,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F4" s="5">
        <f>IF('Sorted Responses'!F4="","",
  SWITCH('Sorted Responses'!F4,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G4" s="5">
        <f>IF('Sorted Responses'!G4="","",
  SWITCH('Sorted Responses'!G4,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H4" s="5">
        <f>IF('Sorted Responses'!H4="","",
  SWITCH('Sorted Responses'!H4,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I4" s="5">
        <f>IF('Sorted Responses'!I4="","",
  SWITCH('Sorted Responses'!I4,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J4" s="5">
        <f>IF('Sorted Responses'!J4="","",
  SWITCH('Sorted Responses'!J4,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K4" s="5">
        <f>IF('Sorted Responses'!K4="","",
  SWITCH('Sorted Responses'!K4,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L4" s="5">
        <f>IF('Sorted Responses'!L4="","",
  SWITCH('Sorted Responses'!L4,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M4" s="5">
        <f>IF('Sorted Responses'!M4="","",
  SWITCH('Sorted Responses'!M4,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N4" s="5">
        <f>IF('Sorted Responses'!N4="","",
  SWITCH('Sorted Responses'!N4,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O4" s="5">
        <f>IF('Sorted Responses'!O4="","",
  SWITCH('Sorted Responses'!O4,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P4" s="5">
        <f>IF('Sorted Responses'!P4="","",
  SWITCH('Sorted Responses'!P4,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Q4" s="5">
        <f>IF('Sorted Responses'!Q4="","",
  SWITCH('Sorted Responses'!Q4,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R4" s="5">
        <f>IF('Sorted Responses'!R4="","",
  SWITCH('Sorted Responses'!R4,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S4" s="5">
        <f>IF('Sorted Responses'!S4="","",
  SWITCH('Sorted Responses'!S4,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T4" s="5">
        <f>IF('Sorted Responses'!T4="","",
  SWITCH('Sorted Responses'!T4,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U4" s="5">
        <f>IF('Sorted Responses'!U4="","",
  SWITCH('Sorted Responses'!U4,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V4" s="5">
        <f>IF('Sorted Responses'!V4="","",
  SWITCH('Sorted Responses'!V4,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W4" s="5">
        <f>IF('Sorted Responses'!W4="","",
  SWITCH('Sorted Responses'!W4,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X4" s="5">
        <f>IF('Sorted Responses'!X4="","",
  SWITCH('Sorted Responses'!X4,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Y4" s="5">
        <f>IF('Sorted Responses'!Y4="","",
  SWITCH('Sorted Responses'!Y4,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Z4" s="5">
        <f>IF('Sorted Responses'!Z4="","",
  SWITCH('Sorted Responses'!Z4,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AA4" s="5">
        <f>IF('Sorted Responses'!AA4="","",
  SWITCH('Sorted Responses'!AA4,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AB4" s="5">
        <f>IF('Sorted Responses'!AB4="","",
  SWITCH('Sorted Responses'!AB4,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</row>
    <row r="5" ht="22.5" customHeight="1">
      <c r="A5" s="5">
        <f>IF('Sorted Responses'!A5="","",
  SWITCH('Sorted Responses'!A5,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B5" s="5">
        <f>IF('Sorted Responses'!B5="","",
  SWITCH('Sorted Responses'!B5,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C5" s="5">
        <f>IF('Sorted Responses'!C5="","",
  SWITCH('Sorted Responses'!C5,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D5" s="5">
        <f>IF('Sorted Responses'!D5="","",
  SWITCH('Sorted Responses'!D5,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E5" s="5">
        <f>IF('Sorted Responses'!E5="","",
  SWITCH('Sorted Responses'!E5,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F5" s="5">
        <f>IF('Sorted Responses'!F5="","",
  SWITCH('Sorted Responses'!F5,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G5" s="5">
        <f>IF('Sorted Responses'!G5="","",
  SWITCH('Sorted Responses'!G5,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H5" s="5">
        <f>IF('Sorted Responses'!H5="","",
  SWITCH('Sorted Responses'!H5,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I5" s="5">
        <f>IF('Sorted Responses'!I5="","",
  SWITCH('Sorted Responses'!I5,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J5" s="5">
        <f>IF('Sorted Responses'!J5="","",
  SWITCH('Sorted Responses'!J5,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K5" s="5">
        <f>IF('Sorted Responses'!K5="","",
  SWITCH('Sorted Responses'!K5,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L5" s="5">
        <f>IF('Sorted Responses'!L5="","",
  SWITCH('Sorted Responses'!L5,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M5" s="5">
        <f>IF('Sorted Responses'!M5="","",
  SWITCH('Sorted Responses'!M5,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N5" s="5">
        <f>IF('Sorted Responses'!N5="","",
  SWITCH('Sorted Responses'!N5,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O5" s="5">
        <f>IF('Sorted Responses'!O5="","",
  SWITCH('Sorted Responses'!O5,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P5" s="5">
        <f>IF('Sorted Responses'!P5="","",
  SWITCH('Sorted Responses'!P5,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Q5" s="5">
        <f>IF('Sorted Responses'!Q5="","",
  SWITCH('Sorted Responses'!Q5,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R5" s="5">
        <f>IF('Sorted Responses'!R5="","",
  SWITCH('Sorted Responses'!R5,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S5" s="5">
        <f>IF('Sorted Responses'!S5="","",
  SWITCH('Sorted Responses'!S5,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T5" s="5">
        <f>IF('Sorted Responses'!T5="","",
  SWITCH('Sorted Responses'!T5,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U5" s="5">
        <f>IF('Sorted Responses'!U5="","",
  SWITCH('Sorted Responses'!U5,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V5" s="5">
        <f>IF('Sorted Responses'!V5="","",
  SWITCH('Sorted Responses'!V5,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W5" s="5">
        <f>IF('Sorted Responses'!W5="","",
  SWITCH('Sorted Responses'!W5,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X5" s="5">
        <f>IF('Sorted Responses'!X5="","",
  SWITCH('Sorted Responses'!X5,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Y5" s="5">
        <f>IF('Sorted Responses'!Y5="","",
  SWITCH('Sorted Responses'!Y5,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Z5" s="5">
        <f>IF('Sorted Responses'!Z5="","",
  SWITCH('Sorted Responses'!Z5,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AA5" s="5">
        <f>IF('Sorted Responses'!AA5="","",
  SWITCH('Sorted Responses'!AA5,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B5" s="5">
        <f>IF('Sorted Responses'!AB5="","",
  SWITCH('Sorted Responses'!AB5,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</row>
    <row r="6" ht="22.5" customHeight="1">
      <c r="A6" s="5">
        <f>IF('Sorted Responses'!A6="","",
  SWITCH('Sorted Responses'!A6,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B6" s="5">
        <f>IF('Sorted Responses'!B6="","",
  SWITCH('Sorted Responses'!B6,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C6" s="5">
        <f>IF('Sorted Responses'!C6="","",
  SWITCH('Sorted Responses'!C6,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D6" s="5">
        <f>IF('Sorted Responses'!D6="","",
  SWITCH('Sorted Responses'!D6,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E6" s="5">
        <f>IF('Sorted Responses'!E6="","",
  SWITCH('Sorted Responses'!E6,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F6" s="5">
        <f>IF('Sorted Responses'!F6="","",
  SWITCH('Sorted Responses'!F6,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G6" s="5">
        <f>IF('Sorted Responses'!G6="","",
  SWITCH('Sorted Responses'!G6,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H6" s="5">
        <f>IF('Sorted Responses'!H6="","",
  SWITCH('Sorted Responses'!H6,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I6" s="5">
        <f>IF('Sorted Responses'!I6="","",
  SWITCH('Sorted Responses'!I6,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J6" s="5">
        <f>IF('Sorted Responses'!J6="","",
  SWITCH('Sorted Responses'!J6,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K6" s="5">
        <f>IF('Sorted Responses'!K6="","",
  SWITCH('Sorted Responses'!K6,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L6" s="5">
        <f>IF('Sorted Responses'!L6="","",
  SWITCH('Sorted Responses'!L6,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M6" s="5">
        <f>IF('Sorted Responses'!M6="","",
  SWITCH('Sorted Responses'!M6,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N6" s="5">
        <f>IF('Sorted Responses'!N6="","",
  SWITCH('Sorted Responses'!N6,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O6" s="5">
        <f>IF('Sorted Responses'!O6="","",
  SWITCH('Sorted Responses'!O6,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P6" s="5">
        <f>IF('Sorted Responses'!P6="","",
  SWITCH('Sorted Responses'!P6,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Q6" s="5">
        <f>IF('Sorted Responses'!Q6="","",
  SWITCH('Sorted Responses'!Q6,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R6" s="5">
        <f>IF('Sorted Responses'!R6="","",
  SWITCH('Sorted Responses'!R6,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S6" s="5">
        <f>IF('Sorted Responses'!S6="","",
  SWITCH('Sorted Responses'!S6,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T6" s="5">
        <f>IF('Sorted Responses'!T6="","",
  SWITCH('Sorted Responses'!T6,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U6" s="5">
        <f>IF('Sorted Responses'!U6="","",
  SWITCH('Sorted Responses'!U6,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V6" s="5">
        <f>IF('Sorted Responses'!V6="","",
  SWITCH('Sorted Responses'!V6,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W6" s="5">
        <f>IF('Sorted Responses'!W6="","",
  SWITCH('Sorted Responses'!W6,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X6" s="5">
        <f>IF('Sorted Responses'!X6="","",
  SWITCH('Sorted Responses'!X6,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Y6" s="5">
        <f>IF('Sorted Responses'!Y6="","",
  SWITCH('Sorted Responses'!Y6,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Z6" s="5">
        <f>IF('Sorted Responses'!Z6="","",
  SWITCH('Sorted Responses'!Z6,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AA6" s="5">
        <f>IF('Sorted Responses'!AA6="","",
  SWITCH('Sorted Responses'!AA6,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AB6" s="5">
        <f>IF('Sorted Responses'!AB6="","",
  SWITCH('Sorted Responses'!AB6,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</row>
    <row r="7" ht="22.5" customHeight="1">
      <c r="A7" s="5">
        <f>IF('Sorted Responses'!A7="","",
  SWITCH('Sorted Responses'!A7,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B7" s="5">
        <f>IF('Sorted Responses'!B7="","",
  SWITCH('Sorted Responses'!B7,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C7" s="5">
        <f>IF('Sorted Responses'!C7="","",
  SWITCH('Sorted Responses'!C7,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D7" s="5">
        <f>IF('Sorted Responses'!D7="","",
  SWITCH('Sorted Responses'!D7,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E7" s="5">
        <f>IF('Sorted Responses'!E7="","",
  SWITCH('Sorted Responses'!E7,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F7" s="5">
        <f>IF('Sorted Responses'!F7="","",
  SWITCH('Sorted Responses'!F7,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G7" s="5">
        <f>IF('Sorted Responses'!G7="","",
  SWITCH('Sorted Responses'!G7,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H7" s="5">
        <f>IF('Sorted Responses'!H7="","",
  SWITCH('Sorted Responses'!H7,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I7" s="5">
        <f>IF('Sorted Responses'!I7="","",
  SWITCH('Sorted Responses'!I7,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J7" s="5">
        <f>IF('Sorted Responses'!J7="","",
  SWITCH('Sorted Responses'!J7,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K7" s="5">
        <f>IF('Sorted Responses'!K7="","",
  SWITCH('Sorted Responses'!K7,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L7" s="5">
        <f>IF('Sorted Responses'!L7="","",
  SWITCH('Sorted Responses'!L7,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M7" s="5">
        <f>IF('Sorted Responses'!M7="","",
  SWITCH('Sorted Responses'!M7,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N7" s="5">
        <f>IF('Sorted Responses'!N7="","",
  SWITCH('Sorted Responses'!N7,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O7" s="5">
        <f>IF('Sorted Responses'!O7="","",
  SWITCH('Sorted Responses'!O7,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P7" s="5">
        <f>IF('Sorted Responses'!P7="","",
  SWITCH('Sorted Responses'!P7,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Q7" s="5">
        <f>IF('Sorted Responses'!Q7="","",
  SWITCH('Sorted Responses'!Q7,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R7" s="5">
        <f>IF('Sorted Responses'!R7="","",
  SWITCH('Sorted Responses'!R7,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S7" s="5">
        <f>IF('Sorted Responses'!S7="","",
  SWITCH('Sorted Responses'!S7,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T7" s="5">
        <f>IF('Sorted Responses'!T7="","",
  SWITCH('Sorted Responses'!T7,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U7" s="5">
        <f>IF('Sorted Responses'!U7="","",
  SWITCH('Sorted Responses'!U7,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V7" s="5">
        <f>IF('Sorted Responses'!V7="","",
  SWITCH('Sorted Responses'!V7,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W7" s="5">
        <f>IF('Sorted Responses'!W7="","",
  SWITCH('Sorted Responses'!W7,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X7" s="5">
        <f>IF('Sorted Responses'!X7="","",
  SWITCH('Sorted Responses'!X7,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Y7" s="5">
        <f>IF('Sorted Responses'!Y7="","",
  SWITCH('Sorted Responses'!Y7,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Z7" s="5">
        <f>IF('Sorted Responses'!Z7="","",
  SWITCH('Sorted Responses'!Z7,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A7" s="5">
        <f>IF('Sorted Responses'!AA7="","",
  SWITCH('Sorted Responses'!AA7,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B7" s="5">
        <f>IF('Sorted Responses'!AB7="","",
  SWITCH('Sorted Responses'!AB7,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</row>
    <row r="8" ht="22.5" customHeight="1">
      <c r="A8" s="5">
        <f>IF('Sorted Responses'!A8="","",
  SWITCH('Sorted Responses'!A8,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B8" s="5">
        <f>IF('Sorted Responses'!B8="","",
  SWITCH('Sorted Responses'!B8,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C8" s="5">
        <f>IF('Sorted Responses'!C8="","",
  SWITCH('Sorted Responses'!C8,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D8" s="5">
        <f>IF('Sorted Responses'!D8="","",
  SWITCH('Sorted Responses'!D8,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E8" s="5">
        <f>IF('Sorted Responses'!E8="","",
  SWITCH('Sorted Responses'!E8,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F8" s="5">
        <f>IF('Sorted Responses'!F8="","",
  SWITCH('Sorted Responses'!F8,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G8" s="5">
        <f>IF('Sorted Responses'!G8="","",
  SWITCH('Sorted Responses'!G8,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H8" s="5">
        <f>IF('Sorted Responses'!H8="","",
  SWITCH('Sorted Responses'!H8,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I8" s="5">
        <f>IF('Sorted Responses'!I8="","",
  SWITCH('Sorted Responses'!I8,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J8" s="5">
        <f>IF('Sorted Responses'!J8="","",
  SWITCH('Sorted Responses'!J8,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K8" s="5">
        <f>IF('Sorted Responses'!K8="","",
  SWITCH('Sorted Responses'!K8,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L8" s="5">
        <f>IF('Sorted Responses'!L8="","",
  SWITCH('Sorted Responses'!L8,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M8" s="5">
        <f>IF('Sorted Responses'!M8="","",
  SWITCH('Sorted Responses'!M8,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N8" s="5">
        <f>IF('Sorted Responses'!N8="","",
  SWITCH('Sorted Responses'!N8,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O8" s="5">
        <f>IF('Sorted Responses'!O8="","",
  SWITCH('Sorted Responses'!O8,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P8" s="5">
        <f>IF('Sorted Responses'!P8="","",
  SWITCH('Sorted Responses'!P8,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Q8" s="5">
        <f>IF('Sorted Responses'!Q8="","",
  SWITCH('Sorted Responses'!Q8,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R8" s="5">
        <f>IF('Sorted Responses'!R8="","",
  SWITCH('Sorted Responses'!R8,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S8" s="5">
        <f>IF('Sorted Responses'!S8="","",
  SWITCH('Sorted Responses'!S8,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T8" s="5">
        <f>IF('Sorted Responses'!T8="","",
  SWITCH('Sorted Responses'!T8,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U8" s="5">
        <f>IF('Sorted Responses'!U8="","",
  SWITCH('Sorted Responses'!U8,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V8" s="5">
        <f>IF('Sorted Responses'!V8="","",
  SWITCH('Sorted Responses'!V8,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W8" s="5">
        <f>IF('Sorted Responses'!W8="","",
  SWITCH('Sorted Responses'!W8,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X8" s="5">
        <f>IF('Sorted Responses'!X8="","",
  SWITCH('Sorted Responses'!X8,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Y8" s="5">
        <f>IF('Sorted Responses'!Y8="","",
  SWITCH('Sorted Responses'!Y8,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Z8" s="5">
        <f>IF('Sorted Responses'!Z8="","",
  SWITCH('Sorted Responses'!Z8,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AA8" s="5">
        <f>IF('Sorted Responses'!AA8="","",
  SWITCH('Sorted Responses'!AA8,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AB8" s="5">
        <f>IF('Sorted Responses'!AB8="","",
  SWITCH('Sorted Responses'!AB8,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</row>
    <row r="9" ht="22.5" customHeight="1">
      <c r="A9" s="5">
        <f>IF('Sorted Responses'!A9="","",
  SWITCH('Sorted Responses'!A9,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B9" s="5">
        <f>IF('Sorted Responses'!B9="","",
  SWITCH('Sorted Responses'!B9,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C9" s="5">
        <f>IF('Sorted Responses'!C9="","",
  SWITCH('Sorted Responses'!C9,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D9" s="5">
        <f>IF('Sorted Responses'!D9="","",
  SWITCH('Sorted Responses'!D9,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E9" s="5">
        <f>IF('Sorted Responses'!E9="","",
  SWITCH('Sorted Responses'!E9,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F9" s="5">
        <f>IF('Sorted Responses'!F9="","",
  SWITCH('Sorted Responses'!F9,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G9" s="5">
        <f>IF('Sorted Responses'!G9="","",
  SWITCH('Sorted Responses'!G9,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H9" s="5">
        <f>IF('Sorted Responses'!H9="","",
  SWITCH('Sorted Responses'!H9,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I9" s="5">
        <f>IF('Sorted Responses'!I9="","",
  SWITCH('Sorted Responses'!I9,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J9" s="5">
        <f>IF('Sorted Responses'!J9="","",
  SWITCH('Sorted Responses'!J9,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K9" s="5">
        <f>IF('Sorted Responses'!K9="","",
  SWITCH('Sorted Responses'!K9,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L9" s="5">
        <f>IF('Sorted Responses'!L9="","",
  SWITCH('Sorted Responses'!L9,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M9" s="5">
        <f>IF('Sorted Responses'!M9="","",
  SWITCH('Sorted Responses'!M9,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N9" s="5">
        <f>IF('Sorted Responses'!N9="","",
  SWITCH('Sorted Responses'!N9,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O9" s="5">
        <f>IF('Sorted Responses'!O9="","",
  SWITCH('Sorted Responses'!O9,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P9" s="5">
        <f>IF('Sorted Responses'!P9="","",
  SWITCH('Sorted Responses'!P9,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Q9" s="5">
        <f>IF('Sorted Responses'!Q9="","",
  SWITCH('Sorted Responses'!Q9,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R9" s="5">
        <f>IF('Sorted Responses'!R9="","",
  SWITCH('Sorted Responses'!R9,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S9" s="5">
        <f>IF('Sorted Responses'!S9="","",
  SWITCH('Sorted Responses'!S9,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T9" s="5">
        <f>IF('Sorted Responses'!T9="","",
  SWITCH('Sorted Responses'!T9,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U9" s="5">
        <f>IF('Sorted Responses'!U9="","",
  SWITCH('Sorted Responses'!U9,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V9" s="5">
        <f>IF('Sorted Responses'!V9="","",
  SWITCH('Sorted Responses'!V9,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W9" s="5">
        <f>IF('Sorted Responses'!W9="","",
  SWITCH('Sorted Responses'!W9,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X9" s="5">
        <f>IF('Sorted Responses'!X9="","",
  SWITCH('Sorted Responses'!X9,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Y9" s="5">
        <f>IF('Sorted Responses'!Y9="","",
  SWITCH('Sorted Responses'!Y9,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Z9" s="5">
        <f>IF('Sorted Responses'!Z9="","",
  SWITCH('Sorted Responses'!Z9,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AA9" s="5">
        <f>IF('Sorted Responses'!AA9="","",
  SWITCH('Sorted Responses'!AA9,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B9" s="5">
        <f>IF('Sorted Responses'!AB9="","",
  SWITCH('Sorted Responses'!AB9,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</row>
    <row r="10" ht="22.5" customHeight="1">
      <c r="A10" s="5">
        <f>IF('Sorted Responses'!A10="","",
  SWITCH('Sorted Responses'!A10,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B10" s="5">
        <f>IF('Sorted Responses'!B10="","",
  SWITCH('Sorted Responses'!B10,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C10" s="5">
        <f>IF('Sorted Responses'!C10="","",
  SWITCH('Sorted Responses'!C10,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D10" s="5">
        <f>IF('Sorted Responses'!D10="","",
  SWITCH('Sorted Responses'!D10,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E10" s="5">
        <f>IF('Sorted Responses'!E10="","",
  SWITCH('Sorted Responses'!E10,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F10" s="5">
        <f>IF('Sorted Responses'!F10="","",
  SWITCH('Sorted Responses'!F10,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G10" s="5">
        <f>IF('Sorted Responses'!G10="","",
  SWITCH('Sorted Responses'!G10,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H10" s="5">
        <f>IF('Sorted Responses'!H10="","",
  SWITCH('Sorted Responses'!H10,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I10" s="5">
        <f>IF('Sorted Responses'!I10="","",
  SWITCH('Sorted Responses'!I10,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J10" s="5">
        <f>IF('Sorted Responses'!J10="","",
  SWITCH('Sorted Responses'!J10,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K10" s="5">
        <f>IF('Sorted Responses'!K10="","",
  SWITCH('Sorted Responses'!K10,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L10" s="5">
        <f>IF('Sorted Responses'!L10="","",
  SWITCH('Sorted Responses'!L10,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M10" s="5">
        <f>IF('Sorted Responses'!M10="","",
  SWITCH('Sorted Responses'!M10,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N10" s="5">
        <f>IF('Sorted Responses'!N10="","",
  SWITCH('Sorted Responses'!N10,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O10" s="5">
        <f>IF('Sorted Responses'!O10="","",
  SWITCH('Sorted Responses'!O10,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P10" s="5">
        <f>IF('Sorted Responses'!P10="","",
  SWITCH('Sorted Responses'!P10,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Q10" s="5">
        <f>IF('Sorted Responses'!Q10="","",
  SWITCH('Sorted Responses'!Q10,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R10" s="5">
        <f>IF('Sorted Responses'!R10="","",
  SWITCH('Sorted Responses'!R10,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S10" s="5">
        <f>IF('Sorted Responses'!S10="","",
  SWITCH('Sorted Responses'!S10,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T10" s="5">
        <f>IF('Sorted Responses'!T10="","",
  SWITCH('Sorted Responses'!T10,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U10" s="5">
        <f>IF('Sorted Responses'!U10="","",
  SWITCH('Sorted Responses'!U10,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V10" s="5">
        <f>IF('Sorted Responses'!V10="","",
  SWITCH('Sorted Responses'!V10,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W10" s="5">
        <f>IF('Sorted Responses'!W10="","",
  SWITCH('Sorted Responses'!W10,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X10" s="5">
        <f>IF('Sorted Responses'!X10="","",
  SWITCH('Sorted Responses'!X10,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Y10" s="5">
        <f>IF('Sorted Responses'!Y10="","",
  SWITCH('Sorted Responses'!Y10,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Z10" s="5">
        <f>IF('Sorted Responses'!Z10="","",
  SWITCH('Sorted Responses'!Z10,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AA10" s="5">
        <f>IF('Sorted Responses'!AA10="","",
  SWITCH('Sorted Responses'!AA10,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AB10" s="5">
        <f>IF('Sorted Responses'!AB10="","",
  SWITCH('Sorted Responses'!AB10,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</row>
    <row r="11" ht="22.5" customHeight="1">
      <c r="A11" s="5">
        <f>IF('Sorted Responses'!A11="","",
  SWITCH('Sorted Responses'!A11,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B11" s="5">
        <f>IF('Sorted Responses'!B11="","",
  SWITCH('Sorted Responses'!B11,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C11" s="5">
        <f>IF('Sorted Responses'!C11="","",
  SWITCH('Sorted Responses'!C11,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D11" s="5">
        <f>IF('Sorted Responses'!D11="","",
  SWITCH('Sorted Responses'!D11,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E11" s="5">
        <f>IF('Sorted Responses'!E11="","",
  SWITCH('Sorted Responses'!E11,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F11" s="5">
        <f>IF('Sorted Responses'!F11="","",
  SWITCH('Sorted Responses'!F11,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G11" s="5">
        <f>IF('Sorted Responses'!G11="","",
  SWITCH('Sorted Responses'!G11,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H11" s="5">
        <f>IF('Sorted Responses'!H11="","",
  SWITCH('Sorted Responses'!H11,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I11" s="5">
        <f>IF('Sorted Responses'!I11="","",
  SWITCH('Sorted Responses'!I11,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J11" s="5">
        <f>IF('Sorted Responses'!J11="","",
  SWITCH('Sorted Responses'!J11,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7</v>
      </c>
      <c r="K11" s="5">
        <f>IF('Sorted Responses'!K11="","",
  SWITCH('Sorted Responses'!K11,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L11" s="5">
        <f>IF('Sorted Responses'!L11="","",
  SWITCH('Sorted Responses'!L11,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M11" s="5">
        <f>IF('Sorted Responses'!M11="","",
  SWITCH('Sorted Responses'!M11,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N11" s="5">
        <f>IF('Sorted Responses'!N11="","",
  SWITCH('Sorted Responses'!N11,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O11" s="5">
        <f>IF('Sorted Responses'!O11="","",
  SWITCH('Sorted Responses'!O11,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P11" s="5">
        <f>IF('Sorted Responses'!P11="","",
  SWITCH('Sorted Responses'!P11,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Q11" s="5">
        <f>IF('Sorted Responses'!Q11="","",
  SWITCH('Sorted Responses'!Q11,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R11" s="5">
        <f>IF('Sorted Responses'!R11="","",
  SWITCH('Sorted Responses'!R11,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S11" s="5">
        <f>IF('Sorted Responses'!S11="","",
  SWITCH('Sorted Responses'!S11,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T11" s="5">
        <f>IF('Sorted Responses'!T11="","",
  SWITCH('Sorted Responses'!T11,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U11" s="5">
        <f>IF('Sorted Responses'!U11="","",
  SWITCH('Sorted Responses'!U11,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V11" s="5">
        <f>IF('Sorted Responses'!V11="","",
  SWITCH('Sorted Responses'!V11,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W11" s="5">
        <f>IF('Sorted Responses'!W11="","",
  SWITCH('Sorted Responses'!W11,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X11" s="5">
        <f>IF('Sorted Responses'!X11="","",
  SWITCH('Sorted Responses'!X11,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Y11" s="5">
        <f>IF('Sorted Responses'!Y11="","",
  SWITCH('Sorted Responses'!Y11,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Z11" s="5">
        <f>IF('Sorted Responses'!Z11="","",
  SWITCH('Sorted Responses'!Z11,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A11" s="5">
        <f>IF('Sorted Responses'!AA11="","",
  SWITCH('Sorted Responses'!AA11,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B11" s="5">
        <f>IF('Sorted Responses'!AB11="","",
  SWITCH('Sorted Responses'!AB11,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</row>
    <row r="12" ht="22.5" customHeight="1">
      <c r="A12" s="5">
        <f>IF('Sorted Responses'!A12="","",
  SWITCH('Sorted Responses'!A12,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B12" s="5">
        <f>IF('Sorted Responses'!B12="","",
  SWITCH('Sorted Responses'!B12,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C12" s="5">
        <f>IF('Sorted Responses'!C12="","",
  SWITCH('Sorted Responses'!C12,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D12" s="5">
        <f>IF('Sorted Responses'!D12="","",
  SWITCH('Sorted Responses'!D12,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E12" s="5">
        <f>IF('Sorted Responses'!E12="","",
  SWITCH('Sorted Responses'!E12,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F12" s="5">
        <f>IF('Sorted Responses'!F12="","",
  SWITCH('Sorted Responses'!F12,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G12" s="5">
        <f>IF('Sorted Responses'!G12="","",
  SWITCH('Sorted Responses'!G12,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H12" s="5">
        <f>IF('Sorted Responses'!H12="","",
  SWITCH('Sorted Responses'!H12,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I12" s="5">
        <f>IF('Sorted Responses'!I12="","",
  SWITCH('Sorted Responses'!I12,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J12" s="5">
        <f>IF('Sorted Responses'!J12="","",
  SWITCH('Sorted Responses'!J12,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K12" s="5">
        <f>IF('Sorted Responses'!K12="","",
  SWITCH('Sorted Responses'!K12,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L12" s="5">
        <f>IF('Sorted Responses'!L12="","",
  SWITCH('Sorted Responses'!L12,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M12" s="5">
        <f>IF('Sorted Responses'!M12="","",
  SWITCH('Sorted Responses'!M12,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N12" s="5">
        <f>IF('Sorted Responses'!N12="","",
  SWITCH('Sorted Responses'!N12,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O12" s="5">
        <f>IF('Sorted Responses'!O12="","",
  SWITCH('Sorted Responses'!O12,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P12" s="5">
        <f>IF('Sorted Responses'!P12="","",
  SWITCH('Sorted Responses'!P12,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Q12" s="5">
        <f>IF('Sorted Responses'!Q12="","",
  SWITCH('Sorted Responses'!Q12,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R12" s="5">
        <f>IF('Sorted Responses'!R12="","",
  SWITCH('Sorted Responses'!R12,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S12" s="5">
        <f>IF('Sorted Responses'!S12="","",
  SWITCH('Sorted Responses'!S12,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T12" s="5">
        <f>IF('Sorted Responses'!T12="","",
  SWITCH('Sorted Responses'!T12,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U12" s="5">
        <f>IF('Sorted Responses'!U12="","",
  SWITCH('Sorted Responses'!U12,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V12" s="5">
        <f>IF('Sorted Responses'!V12="","",
  SWITCH('Sorted Responses'!V12,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W12" s="5">
        <f>IF('Sorted Responses'!W12="","",
  SWITCH('Sorted Responses'!W12,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X12" s="5">
        <f>IF('Sorted Responses'!X12="","",
  SWITCH('Sorted Responses'!X12,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Y12" s="5">
        <f>IF('Sorted Responses'!Y12="","",
  SWITCH('Sorted Responses'!Y12,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Z12" s="5">
        <f>IF('Sorted Responses'!Z12="","",
  SWITCH('Sorted Responses'!Z12,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AA12" s="5">
        <f>IF('Sorted Responses'!AA12="","",
  SWITCH('Sorted Responses'!AA12,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AB12" s="5">
        <f>IF('Sorted Responses'!AB12="","",
  SWITCH('Sorted Responses'!AB12,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</row>
    <row r="13" ht="22.5" customHeight="1">
      <c r="A13" s="5">
        <f>IF('Sorted Responses'!A13="","",
  SWITCH('Sorted Responses'!A13,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B13" s="5">
        <f>IF('Sorted Responses'!B13="","",
  SWITCH('Sorted Responses'!B13,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C13" s="5">
        <f>IF('Sorted Responses'!C13="","",
  SWITCH('Sorted Responses'!C13,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D13" s="5">
        <f>IF('Sorted Responses'!D13="","",
  SWITCH('Sorted Responses'!D13,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E13" s="5">
        <f>IF('Sorted Responses'!E13="","",
  SWITCH('Sorted Responses'!E13,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F13" s="5">
        <f>IF('Sorted Responses'!F13="","",
  SWITCH('Sorted Responses'!F13,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G13" s="5">
        <f>IF('Sorted Responses'!G13="","",
  SWITCH('Sorted Responses'!G13,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H13" s="5">
        <f>IF('Sorted Responses'!H13="","",
  SWITCH('Sorted Responses'!H13,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I13" s="5">
        <f>IF('Sorted Responses'!I13="","",
  SWITCH('Sorted Responses'!I13,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J13" s="5">
        <f>IF('Sorted Responses'!J13="","",
  SWITCH('Sorted Responses'!J13,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1</v>
      </c>
      <c r="K13" s="5">
        <f>IF('Sorted Responses'!K13="","",
  SWITCH('Sorted Responses'!K13,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L13" s="5">
        <f>IF('Sorted Responses'!L13="","",
  SWITCH('Sorted Responses'!L13,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M13" s="5">
        <f>IF('Sorted Responses'!M13="","",
  SWITCH('Sorted Responses'!M13,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N13" s="5">
        <f>IF('Sorted Responses'!N13="","",
  SWITCH('Sorted Responses'!N13,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O13" s="5">
        <f>IF('Sorted Responses'!O13="","",
  SWITCH('Sorted Responses'!O13,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P13" s="5">
        <f>IF('Sorted Responses'!P13="","",
  SWITCH('Sorted Responses'!P13,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Q13" s="5">
        <f>IF('Sorted Responses'!Q13="","",
  SWITCH('Sorted Responses'!Q13,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R13" s="5">
        <f>IF('Sorted Responses'!R13="","",
  SWITCH('Sorted Responses'!R13,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3</v>
      </c>
      <c r="S13" s="5">
        <f>IF('Sorted Responses'!S13="","",
  SWITCH('Sorted Responses'!S13,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T13" s="5">
        <f>IF('Sorted Responses'!T13="","",
  SWITCH('Sorted Responses'!T13,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U13" s="5">
        <f>IF('Sorted Responses'!U13="","",
  SWITCH('Sorted Responses'!U13,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V13" s="5">
        <f>IF('Sorted Responses'!V13="","",
  SWITCH('Sorted Responses'!V13,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W13" s="5">
        <f>IF('Sorted Responses'!W13="","",
  SWITCH('Sorted Responses'!W13,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6</v>
      </c>
      <c r="X13" s="5">
        <f>IF('Sorted Responses'!X13="","",
  SWITCH('Sorted Responses'!X13,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2</v>
      </c>
      <c r="Y13" s="5">
        <f>IF('Sorted Responses'!Y13="","",
  SWITCH('Sorted Responses'!Y13,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Z13" s="5">
        <f>IF('Sorted Responses'!Z13="","",
  SWITCH('Sorted Responses'!Z13,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4</v>
      </c>
      <c r="AA13" s="5">
        <f>IF('Sorted Responses'!AA13="","",
  SWITCH('Sorted Responses'!AA13,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  <c r="AB13" s="5">
        <f>IF('Sorted Responses'!AB13="","",
  SWITCH('Sorted Responses'!AB13,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</f>
        <v>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25"/>
    <col customWidth="1" min="3" max="3" width="32.38"/>
    <col customWidth="1" min="4" max="4" width="28.88"/>
    <col customWidth="1" min="5" max="5" width="65.25"/>
    <col customWidth="1" min="6" max="6" width="44.13"/>
    <col customWidth="1" min="7" max="7" width="44.0"/>
    <col customWidth="1" min="8" max="8" width="57.63"/>
    <col customWidth="1" min="9" max="9" width="33.75"/>
    <col customWidth="1" min="10" max="10" width="28.38"/>
    <col customWidth="1" min="11" max="11" width="54.5"/>
    <col customWidth="1" min="12" max="12" width="61.63"/>
    <col customWidth="1" min="13" max="13" width="44.13"/>
    <col customWidth="1" min="14" max="14" width="43.25"/>
    <col customWidth="1" min="15" max="15" width="34.38"/>
  </cols>
  <sheetData>
    <row r="1">
      <c r="A1" s="6"/>
      <c r="B1" s="7" t="s">
        <v>116</v>
      </c>
      <c r="C1" s="7" t="s">
        <v>117</v>
      </c>
      <c r="D1" s="7" t="s">
        <v>118</v>
      </c>
      <c r="E1" s="7" t="s">
        <v>119</v>
      </c>
      <c r="F1" s="7" t="s">
        <v>120</v>
      </c>
      <c r="G1" s="7" t="s">
        <v>121</v>
      </c>
      <c r="H1" s="7" t="s">
        <v>122</v>
      </c>
      <c r="I1" s="7" t="s">
        <v>123</v>
      </c>
      <c r="J1" s="7" t="s">
        <v>124</v>
      </c>
      <c r="K1" s="7" t="s">
        <v>125</v>
      </c>
      <c r="L1" s="7" t="s">
        <v>126</v>
      </c>
      <c r="M1" s="7" t="s">
        <v>127</v>
      </c>
      <c r="N1" s="7" t="s">
        <v>128</v>
      </c>
      <c r="O1" s="7" t="s">
        <v>129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>
      <c r="A2" s="9" t="s">
        <v>130</v>
      </c>
      <c r="B2" s="10">
        <f t="array" ref="B2">AVERAGE(IF('Sorted Responses'!A2:A1001="","",
  SWITCH('Sorted Responses'!A2:A1001,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</v>
      </c>
      <c r="C2" s="10">
        <f t="array" ref="C2">AVERAGE(IF('Sorted Responses'!B2:B1001="","",
  SWITCH('Sorted Responses'!B2:B1001,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3.833333333</v>
      </c>
      <c r="D2" s="10">
        <f t="array" ref="D2">AVERAGE(IF('Sorted Responses'!C2:C1001="","",
  SWITCH('Sorted Responses'!C2:C1001,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4.333333333</v>
      </c>
      <c r="E2" s="10">
        <f t="array" ref="E2">AVERAGE(IF('Sorted Responses'!D2:D1001="","",
  SWITCH('Sorted Responses'!D2:D1001,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2.833333333</v>
      </c>
      <c r="F2" s="10">
        <f t="array" ref="F2">AVERAGE(IF('Sorted Responses'!E2:E1001="","",
  SWITCH('Sorted Responses'!E2:E1001,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4.833333333</v>
      </c>
      <c r="G2" s="10">
        <f t="array" ref="G2">AVERAGE(IF('Sorted Responses'!F2:F1001="","",
  SWITCH('Sorted Responses'!F2:F1001,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</v>
      </c>
      <c r="H2" s="10">
        <f t="array" ref="H2">AVERAGE(IF('Sorted Responses'!G2:G1001="","",
  SWITCH('Sorted Responses'!G2:G1001,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5.333333333</v>
      </c>
      <c r="I2" s="10">
        <f t="array" ref="I2">AVERAGE(IF('Sorted Responses'!H2:H1001="","",
  SWITCH('Sorted Responses'!H2:H1001,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3.583333333</v>
      </c>
      <c r="J2" s="10">
        <f t="array" ref="J2">AVERAGE(IF('Sorted Responses'!I2:I1001="","",
  SWITCH('Sorted Responses'!I2:I1001,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5.166666667</v>
      </c>
      <c r="K2" s="11">
        <f t="array" ref="K2">AVERAGE(IF('Sorted Responses'!J2:J1001="","",
  SWITCH('Sorted Responses'!J2:J1001,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2.583333333</v>
      </c>
      <c r="L2" s="10">
        <f t="array" ref="L2">AVERAGE(IF('Sorted Responses'!K2:K1001="","",
  SWITCH('Sorted Responses'!K2:K1001,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4.166666667</v>
      </c>
      <c r="M2" s="10">
        <f t="array" ref="M2">AVERAGE(IF('Sorted Responses'!L2:L1001="","",
  SWITCH('Sorted Responses'!L2:L1001,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4.416666667</v>
      </c>
      <c r="N2" s="10">
        <f t="array" ref="N2">AVERAGE(IF('Sorted Responses'!M2:M1001="","",
  SWITCH('Sorted Responses'!M2:M1001,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4.833333333</v>
      </c>
      <c r="O2" s="10">
        <f t="array" ref="O2">AVERAGE(IF('Sorted Responses'!N2:N1001="","",
  SWITCH('Sorted Responses'!N2:N1001,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4.416666667</v>
      </c>
    </row>
    <row r="3">
      <c r="A3" s="9" t="s">
        <v>131</v>
      </c>
      <c r="B3" s="11">
        <f t="array" ref="B3">AVERAGE(IF('Sorted Responses'!O2:O1001="","",
  SWITCH('Sorted Responses'!O2:O1001,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4.583333333</v>
      </c>
      <c r="C3" s="11">
        <f t="array" ref="C3">AVERAGE(IF('Sorted Responses'!P2:P1001="","",
  SWITCH('Sorted Responses'!P2:P1001,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3</v>
      </c>
      <c r="D3" s="11">
        <f t="array" ref="D3">AVERAGE(IF('Sorted Responses'!Q2:Q1001="","",
  SWITCH('Sorted Responses'!Q2:Q1001,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5.333333333</v>
      </c>
      <c r="E3" s="11">
        <f t="array" ref="E3">AVERAGE(IF('Sorted Responses'!R2:R1001="","",
  SWITCH('Sorted Responses'!R2:R1001,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2.25</v>
      </c>
      <c r="F3" s="11">
        <f t="array" ref="F3">AVERAGE(IF('Sorted Responses'!S2:S1001="","",
  SWITCH('Sorted Responses'!S2:S1001,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5.166666667</v>
      </c>
      <c r="G3" s="11">
        <f t="array" ref="G3">AVERAGE(IF('Sorted Responses'!T2:T1001="","",
  SWITCH('Sorted Responses'!T2:T1001,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2.666666667</v>
      </c>
      <c r="H3" s="11">
        <f t="array" ref="H3">AVERAGE(IF('Sorted Responses'!U2:U1001="","",
  SWITCH('Sorted Responses'!U2:U1001,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5.583333333</v>
      </c>
      <c r="I3" s="11">
        <f t="array" ref="I3">AVERAGE(IF('Sorted Responses'!V2:V1001="","",
  SWITCH('Sorted Responses'!V2:V1001,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2.666666667</v>
      </c>
      <c r="J3" s="11">
        <f t="array" ref="J3">AVERAGE(IF('Sorted Responses'!W2:W1001="","",
  SWITCH('Sorted Responses'!W2:W1001,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5.833333333</v>
      </c>
      <c r="K3" s="10">
        <f t="array" ref="K3">AVERAGE(IF('Sorted Responses'!X2:X1001="","",
  SWITCH('Sorted Responses'!X2:X1001,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2.666666667</v>
      </c>
      <c r="L3" s="11">
        <f t="array" ref="L3">AVERAGE(IF('Sorted Responses'!Y2:Y1001="","",
  SWITCH('Sorted Responses'!Y2:Y1001,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4.833333333</v>
      </c>
      <c r="M3" s="11">
        <f t="array" ref="M3">AVERAGE(IF('Sorted Responses'!Z2:Z1001="","",
  SWITCH('Sorted Responses'!Z2:Z1001,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4.833333333</v>
      </c>
      <c r="N3" s="11">
        <f t="array" ref="N3">AVERAGE(IF('Sorted Responses'!AA2:AA1001="","",
  SWITCH('Sorted Responses'!AA2:AA1001,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5</v>
      </c>
      <c r="O3" s="11">
        <f t="array" ref="O3">AVERAGE(IF('Sorted Responses'!AB2:AB1001="","",
  SWITCH('Sorted Responses'!AB2:AB1001,
    "Strongly disagree",1,
    "Disagree",2,
    "Somewhat disagree",3,
    "Neither agree nor disagree",4,
    "Somewhat agree",5,
    "Agree",6,
    "Strongly Agree",7,
    "Very poor",1,
    "Poor",2,
    "Somewhat poor",3,
    "Neutral",4,
    "Somewhat good",5,
    "Good",6,
    "Very good",7
  )
))</f>
        <v>5.083333333</v>
      </c>
    </row>
    <row r="4">
      <c r="A4" s="12"/>
    </row>
    <row r="5">
      <c r="A5" s="12"/>
    </row>
    <row r="6">
      <c r="A6" s="12"/>
    </row>
    <row r="7">
      <c r="A7" s="12"/>
    </row>
    <row r="8">
      <c r="A8" s="12"/>
    </row>
    <row r="9">
      <c r="A9" s="12"/>
    </row>
    <row r="10">
      <c r="A10" s="12"/>
    </row>
    <row r="11">
      <c r="A11" s="12"/>
    </row>
    <row r="12">
      <c r="A12" s="12"/>
    </row>
    <row r="13">
      <c r="A13" s="12"/>
    </row>
    <row r="14">
      <c r="A14" s="12"/>
    </row>
    <row r="15">
      <c r="A15" s="12"/>
    </row>
    <row r="16">
      <c r="A16" s="12"/>
    </row>
    <row r="17">
      <c r="A17" s="12"/>
    </row>
    <row r="18">
      <c r="A18" s="12"/>
    </row>
    <row r="19">
      <c r="A19" s="12"/>
    </row>
    <row r="20">
      <c r="A20" s="12"/>
    </row>
    <row r="21">
      <c r="A21" s="12"/>
    </row>
    <row r="22">
      <c r="A22" s="12"/>
    </row>
    <row r="23">
      <c r="A23" s="12"/>
    </row>
    <row r="24">
      <c r="A24" s="12"/>
    </row>
    <row r="25">
      <c r="A25" s="12"/>
    </row>
    <row r="26">
      <c r="A26" s="12"/>
    </row>
    <row r="27">
      <c r="A27" s="12"/>
    </row>
    <row r="28">
      <c r="A28" s="12"/>
    </row>
    <row r="29">
      <c r="A29" s="12"/>
    </row>
    <row r="30">
      <c r="A30" s="12"/>
    </row>
    <row r="31">
      <c r="A31" s="12"/>
    </row>
    <row r="32">
      <c r="A32" s="12"/>
    </row>
    <row r="33">
      <c r="A33" s="12"/>
    </row>
    <row r="34">
      <c r="A34" s="12"/>
    </row>
    <row r="35">
      <c r="A35" s="12"/>
    </row>
    <row r="36">
      <c r="A36" s="12"/>
    </row>
    <row r="37">
      <c r="A37" s="12"/>
    </row>
    <row r="38">
      <c r="A38" s="12"/>
    </row>
    <row r="39">
      <c r="A39" s="12"/>
    </row>
    <row r="40">
      <c r="A40" s="12"/>
    </row>
    <row r="41">
      <c r="A41" s="12"/>
    </row>
    <row r="42">
      <c r="A42" s="12"/>
    </row>
    <row r="43">
      <c r="A43" s="12"/>
    </row>
    <row r="44">
      <c r="A44" s="12"/>
    </row>
    <row r="45">
      <c r="A45" s="12"/>
    </row>
    <row r="46">
      <c r="A46" s="12"/>
    </row>
    <row r="47">
      <c r="A47" s="12"/>
    </row>
    <row r="48">
      <c r="A48" s="12"/>
    </row>
    <row r="49">
      <c r="A49" s="12"/>
    </row>
    <row r="50">
      <c r="A50" s="12"/>
    </row>
    <row r="51">
      <c r="A51" s="12"/>
    </row>
    <row r="52">
      <c r="A52" s="12"/>
    </row>
    <row r="53">
      <c r="A53" s="12"/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  <row r="1001">
      <c r="A1001" s="12"/>
    </row>
  </sheetData>
  <drawing r:id="rId1"/>
</worksheet>
</file>